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44699A60-A91B-423C-9E01-14CA1A1CAB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فواتير 2026-08-20 09-10" sheetId="1" r:id="rId1"/>
    <sheet name="ملخص 2026-08-20 09-10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I2" i="1" s="1"/>
  <c r="I326" i="1" s="1"/>
  <c r="H326" i="1"/>
  <c r="G326" i="1"/>
  <c r="F326" i="1"/>
  <c r="E326" i="1"/>
</calcChain>
</file>

<file path=xl/sharedStrings.xml><?xml version="1.0" encoding="utf-8"?>
<sst xmlns="http://schemas.openxmlformats.org/spreadsheetml/2006/main" count="1315" uniqueCount="835">
  <si>
    <t>اسم الملف</t>
  </si>
  <si>
    <t>رقم الفاتورة</t>
  </si>
  <si>
    <t>تاريخ الإصدار</t>
  </si>
  <si>
    <t>الرقم الضريبي للبائع</t>
  </si>
  <si>
    <t>اجمالي المبيعات (ج.م)</t>
  </si>
  <si>
    <t>اجمالي الخصم (ج.م)</t>
  </si>
  <si>
    <t>اجمالي خصم الصنف (ج.م)</t>
  </si>
  <si>
    <t>ضريبه القيمه المضافه (ج.م)</t>
  </si>
  <si>
    <t>الخصم تحت حساب الضريبه (ج.م)</t>
  </si>
  <si>
    <t>خصم الفاتورة الاضافي (ج.م)</t>
  </si>
  <si>
    <t>اجمالي المبلغ (ج.م)</t>
  </si>
  <si>
    <t>10324 مصر للغازات رقم الفاتوره.pdf</t>
  </si>
  <si>
    <t>10324</t>
  </si>
  <si>
    <t>2026-01-31</t>
  </si>
  <si>
    <t>483871966</t>
  </si>
  <si>
    <t/>
  </si>
  <si>
    <t>اخشاب النعام رقم الفاتوره 754.pdf</t>
  </si>
  <si>
    <t>754</t>
  </si>
  <si>
    <t>2026-01-12</t>
  </si>
  <si>
    <t>283211814</t>
  </si>
  <si>
    <t>اخشاب النعام رقم الفاتوره 774.pdf</t>
  </si>
  <si>
    <t>774</t>
  </si>
  <si>
    <t>2026-02-02</t>
  </si>
  <si>
    <t>اخشاب النعام رقم الفاتوره 783.pdf</t>
  </si>
  <si>
    <t>783</t>
  </si>
  <si>
    <t>2026-02-12</t>
  </si>
  <si>
    <t>اخشاب النعام رقم الفاتوره829.pdf</t>
  </si>
  <si>
    <t>829</t>
  </si>
  <si>
    <t>2026-05-15</t>
  </si>
  <si>
    <t>اسكيمو للهندسة رقم الفاتوره 4246.pdf</t>
  </si>
  <si>
    <t>4246</t>
  </si>
  <si>
    <t>2026-04-24</t>
  </si>
  <si>
    <t>100055303</t>
  </si>
  <si>
    <t>اسكيمو للهندسة رقم الفاتوره 4248.pdf</t>
  </si>
  <si>
    <t>4248</t>
  </si>
  <si>
    <t>اسكيمو للهندسة رقم الفاتوره 4317.pdf</t>
  </si>
  <si>
    <t>4317</t>
  </si>
  <si>
    <t>2026-04-27</t>
  </si>
  <si>
    <t>اسكيمو للهندسة رقم الفاتوره.pdf</t>
  </si>
  <si>
    <t>004380</t>
  </si>
  <si>
    <t>اسكيمو للهندسه رقم الفاتوره 4783.pdf</t>
  </si>
  <si>
    <t>4783</t>
  </si>
  <si>
    <t>2026-05-05</t>
  </si>
  <si>
    <t>اسكيمو للهندسه رقم الفاتوره4665.pdf</t>
  </si>
  <si>
    <t>4665</t>
  </si>
  <si>
    <t>2026-05-02</t>
  </si>
  <si>
    <t>اسكيمو للهندسه رقم الفاتوره6638.pdf</t>
  </si>
  <si>
    <t>6638</t>
  </si>
  <si>
    <t>2026-06-19</t>
  </si>
  <si>
    <t>اسكيمو للهندسه والتجاره رقم الفاتوره 26.pdf</t>
  </si>
  <si>
    <t>26</t>
  </si>
  <si>
    <t>2026-02-09</t>
  </si>
  <si>
    <t>الاتحاد للكيماويات رقم الفاتوره 1717.pdf</t>
  </si>
  <si>
    <t>1717</t>
  </si>
  <si>
    <t>2026-05-19</t>
  </si>
  <si>
    <t>204982448</t>
  </si>
  <si>
    <t>الاتحادللكميات رقم الفاتوره 1641.pdf</t>
  </si>
  <si>
    <t>1641</t>
  </si>
  <si>
    <t>2026-01-26</t>
  </si>
  <si>
    <t>الاسراء رفم الفاتوره 694.pdf</t>
  </si>
  <si>
    <t>694</t>
  </si>
  <si>
    <t>2026-01-22</t>
  </si>
  <si>
    <t>547788096</t>
  </si>
  <si>
    <t>الاسراء رقم الفاتوره 682.pdf</t>
  </si>
  <si>
    <t>682</t>
  </si>
  <si>
    <t>2026-01-04</t>
  </si>
  <si>
    <t>الاسراء رقم الفاتوره 685.pdf</t>
  </si>
  <si>
    <t>685</t>
  </si>
  <si>
    <t>2026-01-07</t>
  </si>
  <si>
    <t>الاسراء رقم الفاتوره 693.pdf</t>
  </si>
  <si>
    <t>693</t>
  </si>
  <si>
    <t>2026-01-21</t>
  </si>
  <si>
    <t>الاسراء رقم الفاتوره 695.pdf</t>
  </si>
  <si>
    <t>695</t>
  </si>
  <si>
    <t>الاسراء رقم الفاتوره 696.pdf</t>
  </si>
  <si>
    <t>696</t>
  </si>
  <si>
    <t>2026-02-04</t>
  </si>
  <si>
    <t>الاسراء رقم الفاتوره 698.pdf</t>
  </si>
  <si>
    <t>698</t>
  </si>
  <si>
    <t>2026-02-11</t>
  </si>
  <si>
    <t>الاسراء رقم الفاتوره 699.pdf</t>
  </si>
  <si>
    <t>699</t>
  </si>
  <si>
    <t>2026-02-14</t>
  </si>
  <si>
    <t>الاسراء رقم الفاتوره 701.pdf</t>
  </si>
  <si>
    <t>701</t>
  </si>
  <si>
    <t>2026-02-24</t>
  </si>
  <si>
    <t>الاسراء رقم الفاتوره 704.pdf</t>
  </si>
  <si>
    <t>704</t>
  </si>
  <si>
    <t>2026-03-05</t>
  </si>
  <si>
    <t>الاسراء رقم الفاتوره 705.pdf</t>
  </si>
  <si>
    <t>705</t>
  </si>
  <si>
    <t>2026-03-11</t>
  </si>
  <si>
    <t>الاسراء رقم الفاتوره 706.pdf</t>
  </si>
  <si>
    <t>706</t>
  </si>
  <si>
    <t>2026-03-17</t>
  </si>
  <si>
    <t>الاسراء رقم الفاتوره 708.pdf</t>
  </si>
  <si>
    <t>708</t>
  </si>
  <si>
    <t>2026-04-02</t>
  </si>
  <si>
    <t>الاسراء رقم الفاتوره 709.pdf</t>
  </si>
  <si>
    <t>709</t>
  </si>
  <si>
    <t>2026-04-07</t>
  </si>
  <si>
    <t>الاسراء رقم الفاتوره 711.pdf</t>
  </si>
  <si>
    <t>711</t>
  </si>
  <si>
    <t>2026-04-15</t>
  </si>
  <si>
    <t>الاسراء رقم الفاتوره 715.pdf</t>
  </si>
  <si>
    <t>715</t>
  </si>
  <si>
    <t>2026-05-10</t>
  </si>
  <si>
    <t>الاسراء رقم الفاتوره 717.pdf</t>
  </si>
  <si>
    <t>717</t>
  </si>
  <si>
    <t>2026-05-14</t>
  </si>
  <si>
    <t>الاسراء رقم الفاتوره 718.pdf</t>
  </si>
  <si>
    <t>718</t>
  </si>
  <si>
    <t>2026-05-17</t>
  </si>
  <si>
    <t>الاسراء رقم الفاتوره 720.pdf</t>
  </si>
  <si>
    <t>720</t>
  </si>
  <si>
    <t>2026-06-03</t>
  </si>
  <si>
    <t>الاسراء رقم الفاتوره 723.pdf</t>
  </si>
  <si>
    <t>723</t>
  </si>
  <si>
    <t>2026-06-30</t>
  </si>
  <si>
    <t>الاسراء رقم الفانوره 713.pdf</t>
  </si>
  <si>
    <t>713</t>
  </si>
  <si>
    <t>2026-04-22</t>
  </si>
  <si>
    <t>البعلبكى رقم الفاتوره 1299.pdf</t>
  </si>
  <si>
    <t>1299</t>
  </si>
  <si>
    <t>2026-03-24</t>
  </si>
  <si>
    <t>266910750</t>
  </si>
  <si>
    <t>البعلبكى رقم الفاتوره 173.pdf</t>
  </si>
  <si>
    <t>173</t>
  </si>
  <si>
    <t>2026-01-14</t>
  </si>
  <si>
    <t>البعلبكى رقم الفاتوره 1883.pdf</t>
  </si>
  <si>
    <t>1883</t>
  </si>
  <si>
    <t>البعلبكى رقم الفاتوره 2130.pdf</t>
  </si>
  <si>
    <t>2130</t>
  </si>
  <si>
    <t>البعلبكى رقم الفاتوره 809.pdf</t>
  </si>
  <si>
    <t>809</t>
  </si>
  <si>
    <t>2026-02-19</t>
  </si>
  <si>
    <t>الجهاد رقم الفاتوره 2112.pdf</t>
  </si>
  <si>
    <t>2112</t>
  </si>
  <si>
    <t>2026-06-04</t>
  </si>
  <si>
    <t>207569789</t>
  </si>
  <si>
    <t>الجهاد لطلاء المعادن رقم الفاتوره 2103.pdf</t>
  </si>
  <si>
    <t>2103</t>
  </si>
  <si>
    <t>237785552</t>
  </si>
  <si>
    <t>الحجار مصر رقم الفاتوره 1755.pdf</t>
  </si>
  <si>
    <t>1755</t>
  </si>
  <si>
    <t>2026-04-18</t>
  </si>
  <si>
    <t>الحجار مصر رقم الفاتوره 80.pdf</t>
  </si>
  <si>
    <t>80</t>
  </si>
  <si>
    <t>الدوليه الحديثه رقم الفاتوره 8188.pdf</t>
  </si>
  <si>
    <t>8188</t>
  </si>
  <si>
    <t>2026-03-15</t>
  </si>
  <si>
    <t>207499500</t>
  </si>
  <si>
    <t>الدوليه رقم الاتوره 7160.pdf</t>
  </si>
  <si>
    <t>7160</t>
  </si>
  <si>
    <t>2026-05-12</t>
  </si>
  <si>
    <t>331745003</t>
  </si>
  <si>
    <t>الدوليه رقم الفاتوره 5031.pdf</t>
  </si>
  <si>
    <t>5031</t>
  </si>
  <si>
    <t>288737024</t>
  </si>
  <si>
    <t>الدوليه رقم الفاتوره 5034.pdf</t>
  </si>
  <si>
    <t>5034</t>
  </si>
  <si>
    <t>2026-01-06</t>
  </si>
  <si>
    <t>الدوليه رقم الفاتوره 5043.pdf</t>
  </si>
  <si>
    <t>5043</t>
  </si>
  <si>
    <t>2026-01-11</t>
  </si>
  <si>
    <t>الدوليه رقم الفاتوره 5055.pdf</t>
  </si>
  <si>
    <t>5055</t>
  </si>
  <si>
    <t>الدوليه رقم الفاتوره 5081.pdf</t>
  </si>
  <si>
    <t>5081</t>
  </si>
  <si>
    <t>الدوليه رقم الفاتوره 5102.pdf</t>
  </si>
  <si>
    <t>5102</t>
  </si>
  <si>
    <t>2026-01-28</t>
  </si>
  <si>
    <t>الدوليه رقم الفاتوره 5134.pdf</t>
  </si>
  <si>
    <t>5134</t>
  </si>
  <si>
    <t>2026-02-08</t>
  </si>
  <si>
    <t>الدوليه رقم الفاتوره 5166.pdf</t>
  </si>
  <si>
    <t>5166</t>
  </si>
  <si>
    <t>2026-02-18</t>
  </si>
  <si>
    <t>الدوليه رقم الفاتوره 5287.pdf</t>
  </si>
  <si>
    <t>5287</t>
  </si>
  <si>
    <t>2026-04-16</t>
  </si>
  <si>
    <t>الدوليه رقم الفاتوره 5300.pdf</t>
  </si>
  <si>
    <t>5300</t>
  </si>
  <si>
    <t>2026-04-21</t>
  </si>
  <si>
    <t>الدوليه رقم الفاتوره5099.pdf</t>
  </si>
  <si>
    <t>5099</t>
  </si>
  <si>
    <t>2026-01-27</t>
  </si>
  <si>
    <t>الدوليه رقم الفاتوره5115.pdf</t>
  </si>
  <si>
    <t>5115</t>
  </si>
  <si>
    <t>2026-02-03</t>
  </si>
  <si>
    <t>الدوليه رقم الفاتوره5194.pdf</t>
  </si>
  <si>
    <t>5194</t>
  </si>
  <si>
    <t>2026-03-01</t>
  </si>
  <si>
    <t>الرضوات رقم الفاتوره 34318.pdf</t>
  </si>
  <si>
    <t>34318</t>
  </si>
  <si>
    <t>244585075</t>
  </si>
  <si>
    <t>الرضوان رقم الفاتوره 34309.pdf</t>
  </si>
  <si>
    <t>34309</t>
  </si>
  <si>
    <t>الرضوان رقم الفاتوره 34326.pdf</t>
  </si>
  <si>
    <t>34326</t>
  </si>
  <si>
    <t>2026-01-19</t>
  </si>
  <si>
    <t>الرضوان رقم الفاتوره 34343.pdf</t>
  </si>
  <si>
    <t>34343</t>
  </si>
  <si>
    <t>الرضوان رقم الفاتوره 34382.pdf</t>
  </si>
  <si>
    <t>34382</t>
  </si>
  <si>
    <t>2026-02-20</t>
  </si>
  <si>
    <t>الرضوان رقم الفاتوره 34453.pdf</t>
  </si>
  <si>
    <t>34453</t>
  </si>
  <si>
    <t>الرضوان رقم الفاتوره 34472.pdf</t>
  </si>
  <si>
    <t>34472</t>
  </si>
  <si>
    <t>2026-04-30</t>
  </si>
  <si>
    <t>الرضوان رقم الفاتوره 34491.pdf</t>
  </si>
  <si>
    <t>34491</t>
  </si>
  <si>
    <t>2026-05-06</t>
  </si>
  <si>
    <t>الرضوان رقم الفاتوره 34561.pdf</t>
  </si>
  <si>
    <t>34561</t>
  </si>
  <si>
    <t>2026-06-29</t>
  </si>
  <si>
    <t>الرضوان رقم الفاتوره34412.pdf</t>
  </si>
  <si>
    <t>34412</t>
  </si>
  <si>
    <t>الرومانى رقم الفاتوره 24306.pdf</t>
  </si>
  <si>
    <t>24306</t>
  </si>
  <si>
    <t>305357395</t>
  </si>
  <si>
    <t>الرومانى رقم الفاتوره 24592.pdf</t>
  </si>
  <si>
    <t>24592</t>
  </si>
  <si>
    <t>2026-05-13</t>
  </si>
  <si>
    <t>الرومانى رقم الفاتوره 24600.pdf</t>
  </si>
  <si>
    <t>24600</t>
  </si>
  <si>
    <t>الشرقيه للف المواتير رقم الفاتوره 837.pdf</t>
  </si>
  <si>
    <t>837</t>
  </si>
  <si>
    <t>2026-03-10</t>
  </si>
  <si>
    <t>433360526</t>
  </si>
  <si>
    <t>العاشر الجديده رقم الفاتوره 12193.pdf</t>
  </si>
  <si>
    <t>12193</t>
  </si>
  <si>
    <t>2026-04-09</t>
  </si>
  <si>
    <t>207422753</t>
  </si>
  <si>
    <t>العربى رقم الفاتوره 13589.pdf</t>
  </si>
  <si>
    <t>13589</t>
  </si>
  <si>
    <t>247550930</t>
  </si>
  <si>
    <t>العربى رقم الفاتوره 13616.pdf</t>
  </si>
  <si>
    <t>13616</t>
  </si>
  <si>
    <t>2026-01-18</t>
  </si>
  <si>
    <t>العربى رقم الفاتوره 13625.pdf</t>
  </si>
  <si>
    <t>13625</t>
  </si>
  <si>
    <t>2026-01-20</t>
  </si>
  <si>
    <t>العربى رقم الفاتوره 13650.pdf</t>
  </si>
  <si>
    <t>13650</t>
  </si>
  <si>
    <t>العربى رقم الفاتوره 13680.pdf</t>
  </si>
  <si>
    <t>13680</t>
  </si>
  <si>
    <t>العربى رقم الفاتوره 13728.pdf</t>
  </si>
  <si>
    <t>13728</t>
  </si>
  <si>
    <t>2026-02-10</t>
  </si>
  <si>
    <t>العربى رقم الفاتوره 13750.pdf</t>
  </si>
  <si>
    <t>13750</t>
  </si>
  <si>
    <t>2026-02-16</t>
  </si>
  <si>
    <t>العربى رقم الفاتوره 13791.pdf</t>
  </si>
  <si>
    <t>13791</t>
  </si>
  <si>
    <t>العربى رقم الفاتوره 13795.pdf</t>
  </si>
  <si>
    <t>13795</t>
  </si>
  <si>
    <t>2026-02-26</t>
  </si>
  <si>
    <t>العربى رقم الفاتوره 13902.pdf</t>
  </si>
  <si>
    <t>13902</t>
  </si>
  <si>
    <t>2026-03-31</t>
  </si>
  <si>
    <t>العربى رقم الفاتوره 13910.pdf</t>
  </si>
  <si>
    <t>13910</t>
  </si>
  <si>
    <t>العربى رقم الفاتوره 13993.pdf</t>
  </si>
  <si>
    <t>13993</t>
  </si>
  <si>
    <t>العربى رقم الفاتوره 14019.pdf</t>
  </si>
  <si>
    <t>14019</t>
  </si>
  <si>
    <t>العربى رقم الفاتوره 14057.pdf</t>
  </si>
  <si>
    <t>14057</t>
  </si>
  <si>
    <t>2026-04-28</t>
  </si>
  <si>
    <t>العربى رقم الفاتوره 14093.pdf</t>
  </si>
  <si>
    <t>14093</t>
  </si>
  <si>
    <t>العربى رقم الفاتوره 14119.pdf</t>
  </si>
  <si>
    <t>14119</t>
  </si>
  <si>
    <t>العربى رقم الفاتوره 14159.pdf</t>
  </si>
  <si>
    <t>14159</t>
  </si>
  <si>
    <t>2026-05-18</t>
  </si>
  <si>
    <t>العربى رقم الفاتوره 14190.pdf</t>
  </si>
  <si>
    <t>14190</t>
  </si>
  <si>
    <t>2026-05-21</t>
  </si>
  <si>
    <t>العربى رقم الفاتوره 14249.pdf</t>
  </si>
  <si>
    <t>14249</t>
  </si>
  <si>
    <t>2026-06-10</t>
  </si>
  <si>
    <t>العربى رقم الفاتوره 14285.pdf</t>
  </si>
  <si>
    <t>14285</t>
  </si>
  <si>
    <t>2026-06-17</t>
  </si>
  <si>
    <t>العربى رقم الفاتوره 14340.pdf</t>
  </si>
  <si>
    <t>14340</t>
  </si>
  <si>
    <t>2026-06-24</t>
  </si>
  <si>
    <t>العزم رقم الفاتوره 11515.pdf</t>
  </si>
  <si>
    <t>11515</t>
  </si>
  <si>
    <t>2026-01-01</t>
  </si>
  <si>
    <t>207543623</t>
  </si>
  <si>
    <t>العزم رقم الفاتوره 11720.pdf</t>
  </si>
  <si>
    <t>11720</t>
  </si>
  <si>
    <t>العزم رقم الفاتوره 11763.pdf</t>
  </si>
  <si>
    <t>11763</t>
  </si>
  <si>
    <t>العزم رقم الفاتوره 11988.pdf</t>
  </si>
  <si>
    <t>11988</t>
  </si>
  <si>
    <t>العزم رقم الفاتوره 12183.pdf</t>
  </si>
  <si>
    <t>12183</t>
  </si>
  <si>
    <t>2026-03-29</t>
  </si>
  <si>
    <t>العزم رقم الفاتوره 12324.pdf</t>
  </si>
  <si>
    <t>12324</t>
  </si>
  <si>
    <t>2026-04-11</t>
  </si>
  <si>
    <t>العزم رقم الفاتوره 12686.pdf</t>
  </si>
  <si>
    <t>12686</t>
  </si>
  <si>
    <t>العزم رقم الفاتوره 13012.pdf</t>
  </si>
  <si>
    <t>13012</t>
  </si>
  <si>
    <t>2026-06-25</t>
  </si>
  <si>
    <t>العزم رقم الفاتوره12535.pdf</t>
  </si>
  <si>
    <t>12535</t>
  </si>
  <si>
    <t>2026-05-03</t>
  </si>
  <si>
    <t>العصريه رقم الفاتوره 1031.pdf</t>
  </si>
  <si>
    <t>1031</t>
  </si>
  <si>
    <t>2026-04-25</t>
  </si>
  <si>
    <t>244069638</t>
  </si>
  <si>
    <t>العصريه رقم الفاتوره 1265.pdf</t>
  </si>
  <si>
    <t>1265</t>
  </si>
  <si>
    <t>2026-05-20</t>
  </si>
  <si>
    <t>العصريه رقم الفاتوره 1266.pdf</t>
  </si>
  <si>
    <t>1266</t>
  </si>
  <si>
    <t>العصريه رقم الفاتوره 1267.pdf</t>
  </si>
  <si>
    <t>1267</t>
  </si>
  <si>
    <t>العصريه رقم الفاتوره 1505.pdf</t>
  </si>
  <si>
    <t>1505</t>
  </si>
  <si>
    <t>2026-06-15</t>
  </si>
  <si>
    <t>العصريه رقم الفاتوره 419.pdf</t>
  </si>
  <si>
    <t>419</t>
  </si>
  <si>
    <t>العصريه رقم الفاتوره 420.pdf</t>
  </si>
  <si>
    <t>420</t>
  </si>
  <si>
    <t>العصريه رقم الفاتوره 928.pdf</t>
  </si>
  <si>
    <t>928</t>
  </si>
  <si>
    <t>العصريه رقم الفاتوره 929.pdf</t>
  </si>
  <si>
    <t>929</t>
  </si>
  <si>
    <t>العصريه رقم الفاتوره1504.pdf</t>
  </si>
  <si>
    <t>1504</t>
  </si>
  <si>
    <t>الفاروق  رقم الفاتوره 2427.pdf</t>
  </si>
  <si>
    <t>2427</t>
  </si>
  <si>
    <t>274030322</t>
  </si>
  <si>
    <t>الفاروق رقم الفاتوره 1450.pdf</t>
  </si>
  <si>
    <t>1450</t>
  </si>
  <si>
    <t>244750289</t>
  </si>
  <si>
    <t>الفاروق رقم الفاتوره 1452.pdf</t>
  </si>
  <si>
    <t>1452</t>
  </si>
  <si>
    <t>الفاروق رقم الفاتوره 1464.pdf</t>
  </si>
  <si>
    <t>1464</t>
  </si>
  <si>
    <t>الفاروق رقم الفاتوره 1476.pdf</t>
  </si>
  <si>
    <t>1476</t>
  </si>
  <si>
    <t>الفاروق رقم الفاتوره 1480.pdf</t>
  </si>
  <si>
    <t>1480</t>
  </si>
  <si>
    <t>الفاروق رقم الفاتوره 1486.pdf</t>
  </si>
  <si>
    <t>1486</t>
  </si>
  <si>
    <t>2026-03-03</t>
  </si>
  <si>
    <t>الفاروق رقم الفاتوره 1508.pdf</t>
  </si>
  <si>
    <t>1508</t>
  </si>
  <si>
    <t>2026-04-01</t>
  </si>
  <si>
    <t>الفاروق رقم الفاتوره 1528.pdf</t>
  </si>
  <si>
    <t>1528</t>
  </si>
  <si>
    <t>الفاروق رقم الفاتوره 1560.pdf</t>
  </si>
  <si>
    <t>1560</t>
  </si>
  <si>
    <t>الفاروق رقم الفاتوره 1567.pdf</t>
  </si>
  <si>
    <t>1567</t>
  </si>
  <si>
    <t>2026-06-22</t>
  </si>
  <si>
    <t>الفاروق رقم الفاتوره 2420.pdf</t>
  </si>
  <si>
    <t>2420</t>
  </si>
  <si>
    <t>2026-01-05</t>
  </si>
  <si>
    <t>الفاروق رقم الفاتوره 2425.pdf</t>
  </si>
  <si>
    <t>2425</t>
  </si>
  <si>
    <t>2026-01-10</t>
  </si>
  <si>
    <t>الفاروق رقم الفاتوره 2426.pdf</t>
  </si>
  <si>
    <t>2426</t>
  </si>
  <si>
    <t>2026-01-13</t>
  </si>
  <si>
    <t>الفاروق رقم الفاتوره 2431.pdf</t>
  </si>
  <si>
    <t>2431</t>
  </si>
  <si>
    <t>الفاروق رقم الفاتوره 2433.pdf</t>
  </si>
  <si>
    <t>2433</t>
  </si>
  <si>
    <t>الفاروق رقم الفاتوره 2434.pdf</t>
  </si>
  <si>
    <t>2434</t>
  </si>
  <si>
    <t>الفاروق رقم الفاتوره 2437.pdf</t>
  </si>
  <si>
    <t>2437</t>
  </si>
  <si>
    <t>الفاروق رقم الفاتوره 2443.pdf</t>
  </si>
  <si>
    <t>2443</t>
  </si>
  <si>
    <t>2026-03-14</t>
  </si>
  <si>
    <t>الفاروق رقم الفاتوره 2446.pdf</t>
  </si>
  <si>
    <t>2446</t>
  </si>
  <si>
    <t>2026-03-18</t>
  </si>
  <si>
    <t>الفاروق رقم الفاتوره 2449.pdf</t>
  </si>
  <si>
    <t>2449</t>
  </si>
  <si>
    <t>الفاروق رقم الفاتوره 2450.pdf</t>
  </si>
  <si>
    <t>2450</t>
  </si>
  <si>
    <t>الفاروق رقم الفاتوره 2454.pdf</t>
  </si>
  <si>
    <t>2454</t>
  </si>
  <si>
    <t>2026-04-14</t>
  </si>
  <si>
    <t>الفاروق رقم الفاتوره 2457.pdf</t>
  </si>
  <si>
    <t>2457</t>
  </si>
  <si>
    <t>الفاروق رقم الفاتوره 2459.pdf</t>
  </si>
  <si>
    <t>2459</t>
  </si>
  <si>
    <t>الفاروق رقم الفاتوره 2464.pdf</t>
  </si>
  <si>
    <t>2464</t>
  </si>
  <si>
    <t>2026-05-11</t>
  </si>
  <si>
    <t>الفاروق رقم الفاتوره 2468.pdf</t>
  </si>
  <si>
    <t>2468</t>
  </si>
  <si>
    <t>الفاروق رقم الفاتوره 2472.pdf</t>
  </si>
  <si>
    <t>2472</t>
  </si>
  <si>
    <t>2026-05-25</t>
  </si>
  <si>
    <t>الفاروق رقم الفاتوره 2473.pdf</t>
  </si>
  <si>
    <t>2473</t>
  </si>
  <si>
    <t>2026-06-06</t>
  </si>
  <si>
    <t>الفاروق رقم الفاتوره 2474.pdf</t>
  </si>
  <si>
    <t>2474</t>
  </si>
  <si>
    <t>2026-06-14</t>
  </si>
  <si>
    <t>الفدامه للخدمات الصنعايه رقم الفاتوره 133.pdf</t>
  </si>
  <si>
    <t>133</t>
  </si>
  <si>
    <t>762820829</t>
  </si>
  <si>
    <t>الفرعونيه رقم الفاتوره2287.pdf</t>
  </si>
  <si>
    <t>2287</t>
  </si>
  <si>
    <t>244534403</t>
  </si>
  <si>
    <t>المصربه لتشكيل المعادن رقم الفاتوره 59753.pdf</t>
  </si>
  <si>
    <t>59753</t>
  </si>
  <si>
    <t>205006337</t>
  </si>
  <si>
    <t>المصريه لتشكيل المعادن رقم الفاتوره 59725.pdf</t>
  </si>
  <si>
    <t>59725</t>
  </si>
  <si>
    <t>المصريه لتشكيل المعادن رقم الفاتوره 59798.pdf</t>
  </si>
  <si>
    <t>59798</t>
  </si>
  <si>
    <t>2026-03-08</t>
  </si>
  <si>
    <t>المصريه لتشكيل المعادن رقم الفاتوره 59809.pdf</t>
  </si>
  <si>
    <t>59809</t>
  </si>
  <si>
    <t>المصريه لتشكيل المعادن رقم الفاتوره 59830.pdf</t>
  </si>
  <si>
    <t>59830</t>
  </si>
  <si>
    <t>المصريه لتشكيل المعادن رقم الفاتوره 59837.pdf</t>
  </si>
  <si>
    <t>59837</t>
  </si>
  <si>
    <t>المصريه لتشكيل المعادن رقم الفاتوره 59846.pdf</t>
  </si>
  <si>
    <t>59846</t>
  </si>
  <si>
    <t>2026-04-19</t>
  </si>
  <si>
    <t>المصريه لتشكيل المعادن رقم الفاتوره 59852.pdf</t>
  </si>
  <si>
    <t>59852</t>
  </si>
  <si>
    <t>المصريه للسوست رقم الفاتوره 5236.pdf</t>
  </si>
  <si>
    <t>5236</t>
  </si>
  <si>
    <t>2026-03-09</t>
  </si>
  <si>
    <t>474967646</t>
  </si>
  <si>
    <t>المصطفى رقم الاتوره 5103.pdf</t>
  </si>
  <si>
    <t>5103</t>
  </si>
  <si>
    <t>332980464</t>
  </si>
  <si>
    <t>المصطفى رقم الفاتوره 4633.pdf</t>
  </si>
  <si>
    <t>4633</t>
  </si>
  <si>
    <t>المصطفى رقم الفاتوره 4661.pdf</t>
  </si>
  <si>
    <t>4661</t>
  </si>
  <si>
    <t>المصطفى رقم الفاتوره 4667.pdf</t>
  </si>
  <si>
    <t>4667</t>
  </si>
  <si>
    <t>المصطفى رقم الفاتوره 4673.pdf</t>
  </si>
  <si>
    <t>4673</t>
  </si>
  <si>
    <t>المصطفى رقم الفاتوره 4700.pdf</t>
  </si>
  <si>
    <t>4700</t>
  </si>
  <si>
    <t>المصطفى رقم الفاتوره 4722.pdf</t>
  </si>
  <si>
    <t>4722</t>
  </si>
  <si>
    <t>2026-02-07</t>
  </si>
  <si>
    <t>المصطفى رقم الفاتوره 4729.pdf</t>
  </si>
  <si>
    <t>4729</t>
  </si>
  <si>
    <t>المصطفى رقم الفاتوره 4791.pdf</t>
  </si>
  <si>
    <t>4791</t>
  </si>
  <si>
    <t>2026-03-02</t>
  </si>
  <si>
    <t>المصطفى رقم الفاتوره 4802.pdf</t>
  </si>
  <si>
    <t>4802</t>
  </si>
  <si>
    <t>المصطفى رقم الفاتوره 4852.pdf</t>
  </si>
  <si>
    <t>4852</t>
  </si>
  <si>
    <t>2026-03-28</t>
  </si>
  <si>
    <t>المصطفى رقم الفاتوره 4861.pdf</t>
  </si>
  <si>
    <t>4861</t>
  </si>
  <si>
    <t>المصطفى رقم الفاتوره 4905.pdf</t>
  </si>
  <si>
    <t>4905</t>
  </si>
  <si>
    <t>المصطفى رقم الفاتوره 4931.pdf</t>
  </si>
  <si>
    <t>4931</t>
  </si>
  <si>
    <t>2026-04-26</t>
  </si>
  <si>
    <t>المصطفى رقم الفاتوره 4953.pdf</t>
  </si>
  <si>
    <t>4953</t>
  </si>
  <si>
    <t>المصطفى رقم الفاتوره 4970.pdf</t>
  </si>
  <si>
    <t>4970</t>
  </si>
  <si>
    <t>المصطفى رقم الفاتوره 5024.pdf</t>
  </si>
  <si>
    <t>5024</t>
  </si>
  <si>
    <t>2026-05-23</t>
  </si>
  <si>
    <t>المصطفى رقم الفاتوره 5070.pdf</t>
  </si>
  <si>
    <t>5070</t>
  </si>
  <si>
    <t>النيل رقم الفاتوره 2405.pdf</t>
  </si>
  <si>
    <t>2405</t>
  </si>
  <si>
    <t>2026-03-04</t>
  </si>
  <si>
    <t>347626300</t>
  </si>
  <si>
    <t>النيل رقم الفاتوره 2406.pdf</t>
  </si>
  <si>
    <t>2406</t>
  </si>
  <si>
    <t>النيل رقم الفاتوره 2407.pdf</t>
  </si>
  <si>
    <t>2407</t>
  </si>
  <si>
    <t>النيل رقم الفاتوره 2453.pdf</t>
  </si>
  <si>
    <t>2453</t>
  </si>
  <si>
    <t>النيل رقم الفاتوره 2454.pdf</t>
  </si>
  <si>
    <t>النيل رقم الفاتوره 2455.pdf</t>
  </si>
  <si>
    <t>2455</t>
  </si>
  <si>
    <t>النيل رقم الفاتوره 2456.pdf</t>
  </si>
  <si>
    <t>2456</t>
  </si>
  <si>
    <t>النيل رقم الفاتوره 2524.pdf</t>
  </si>
  <si>
    <t>2524</t>
  </si>
  <si>
    <t>النيل رقم الفاتوره 4368.pdf</t>
  </si>
  <si>
    <t>4368</t>
  </si>
  <si>
    <t>النيل رقم الفاتوره 4369.pdf</t>
  </si>
  <si>
    <t>4369</t>
  </si>
  <si>
    <t>الهربى رقم الفاتوره 13825.pdf</t>
  </si>
  <si>
    <t>13825</t>
  </si>
  <si>
    <t>2026-03-07</t>
  </si>
  <si>
    <t>الورشه الفنيه رقم الفاتوره 29.pdf</t>
  </si>
  <si>
    <t>29</t>
  </si>
  <si>
    <t>408761776</t>
  </si>
  <si>
    <t>الورشه الفنيه رقم الفاتوره 30.pdf</t>
  </si>
  <si>
    <t>30</t>
  </si>
  <si>
    <t>2026-04-10</t>
  </si>
  <si>
    <t>الورشه الفنيه رقم الفاتوره 31.pdf</t>
  </si>
  <si>
    <t>31</t>
  </si>
  <si>
    <t>الورشه الفنيه رقم الفاتوره 32.pdf</t>
  </si>
  <si>
    <t>32</t>
  </si>
  <si>
    <t>2026-06-21</t>
  </si>
  <si>
    <t>انتر تريد رقم الفاتوره3859.pdf</t>
  </si>
  <si>
    <t>3859</t>
  </si>
  <si>
    <t>2026-06-08</t>
  </si>
  <si>
    <t>499019210</t>
  </si>
  <si>
    <t>ايتالكس ميتال رقم الفاتوره 19241.pdf</t>
  </si>
  <si>
    <t>19241</t>
  </si>
  <si>
    <t>324791038</t>
  </si>
  <si>
    <t>ايجل رقم الفاتوره 10889.pdf</t>
  </si>
  <si>
    <t>10889</t>
  </si>
  <si>
    <t>2026-01-30</t>
  </si>
  <si>
    <t>310329760</t>
  </si>
  <si>
    <t>ايجل رقم الفاتوره 10947.pdf</t>
  </si>
  <si>
    <t>10947</t>
  </si>
  <si>
    <t>2026-02-28</t>
  </si>
  <si>
    <t>ايجل رقم الفاتوره 10994.pdf</t>
  </si>
  <si>
    <t>10994</t>
  </si>
  <si>
    <t>ايجل رقم الفاتوره 11032.pdf</t>
  </si>
  <si>
    <t>11032</t>
  </si>
  <si>
    <t>ايجل رقم الفاتوره 11075.pdf</t>
  </si>
  <si>
    <t>11075</t>
  </si>
  <si>
    <t>2026-06-01</t>
  </si>
  <si>
    <t>جرش رقم الفاتوره 324329.pdf</t>
  </si>
  <si>
    <t>324329</t>
  </si>
  <si>
    <t>205053068</t>
  </si>
  <si>
    <t>جريش رقم الفاتوره 324065.pdf</t>
  </si>
  <si>
    <t>324065</t>
  </si>
  <si>
    <t>2026-01-25</t>
  </si>
  <si>
    <t>جريش رقم الفاتوره 324996.pdf</t>
  </si>
  <si>
    <t>324996</t>
  </si>
  <si>
    <t>جريش رقم الفاتوره 324997.pdf</t>
  </si>
  <si>
    <t>324997</t>
  </si>
  <si>
    <t>جريش رقم الفاتوره 89598.pdf</t>
  </si>
  <si>
    <t>89598</t>
  </si>
  <si>
    <t>205057233</t>
  </si>
  <si>
    <t>جلوبال باور رقم الفاتوره 40.pdf</t>
  </si>
  <si>
    <t>40</t>
  </si>
  <si>
    <t>767212258</t>
  </si>
  <si>
    <t>جيلا رقم الفاتوره 08.pdf</t>
  </si>
  <si>
    <t>08</t>
  </si>
  <si>
    <t>200134213</t>
  </si>
  <si>
    <t>جيلا رقم الفاتوره 1097.pdf</t>
  </si>
  <si>
    <t>1097</t>
  </si>
  <si>
    <t>جيلا رقم الفاتوره 117.pdf</t>
  </si>
  <si>
    <t>117</t>
  </si>
  <si>
    <t>جيلا رقم الفاتوره 1258.pdf</t>
  </si>
  <si>
    <t>1258</t>
  </si>
  <si>
    <t>جيلا رقم الفاتوره 339.pdf</t>
  </si>
  <si>
    <t>339</t>
  </si>
  <si>
    <t>2026-02-17</t>
  </si>
  <si>
    <t>جيلا رقم الفاتوره 394.pdf</t>
  </si>
  <si>
    <t>394</t>
  </si>
  <si>
    <t>جيلا رقم الفاتوره 471.pdf</t>
  </si>
  <si>
    <t>471</t>
  </si>
  <si>
    <t>جيلا رقم الفاتوره 563.pdf</t>
  </si>
  <si>
    <t>563</t>
  </si>
  <si>
    <t>2026-03-26</t>
  </si>
  <si>
    <t>جيلا رقم الفاتوره 607.pdf</t>
  </si>
  <si>
    <t>607</t>
  </si>
  <si>
    <t>2026-04-06</t>
  </si>
  <si>
    <t>جيلا رقم الفاتوره 650.pdf</t>
  </si>
  <si>
    <t>650</t>
  </si>
  <si>
    <t>جيلا رقم الفاتوره 722.pdf</t>
  </si>
  <si>
    <t>722</t>
  </si>
  <si>
    <t>2026-04-20</t>
  </si>
  <si>
    <t>خلفاء سليمان رقم الفاتوره6152.pdf</t>
  </si>
  <si>
    <t>6152</t>
  </si>
  <si>
    <t>100127908</t>
  </si>
  <si>
    <t>دنيا العوازل رقم الفاتوره 12.pdf</t>
  </si>
  <si>
    <t>12</t>
  </si>
  <si>
    <t>438299779</t>
  </si>
  <si>
    <t>دنيا العوازل رقم الفاتوره 141.pdf</t>
  </si>
  <si>
    <t>141</t>
  </si>
  <si>
    <t>2026-04-29</t>
  </si>
  <si>
    <t>دنيا العوازل رقم الفاتوره 60.pdf</t>
  </si>
  <si>
    <t>60</t>
  </si>
  <si>
    <t>ذكريا عطيه رقم الفاتوره 7105.pdf</t>
  </si>
  <si>
    <t>7105</t>
  </si>
  <si>
    <t>ذكريا عطيه رقم الفاتوره 7214.pdf</t>
  </si>
  <si>
    <t>7214</t>
  </si>
  <si>
    <t>ذكريا عطيه لرقم الفاتوره 7010.pdf</t>
  </si>
  <si>
    <t>7010</t>
  </si>
  <si>
    <t>2026-01-08</t>
  </si>
  <si>
    <t>ذكريه عطيه رقم الفاتوره 7067.pdf</t>
  </si>
  <si>
    <t>7067</t>
  </si>
  <si>
    <t>سماريل رقم الفاتوره 38.pdf</t>
  </si>
  <si>
    <t>38</t>
  </si>
  <si>
    <t>سوق السلاح رقم الفاتوره 5623.pdf</t>
  </si>
  <si>
    <t>5623</t>
  </si>
  <si>
    <t>2026-01-15</t>
  </si>
  <si>
    <t>205129900</t>
  </si>
  <si>
    <t>سوق السلاح رقم الفاتوره 5758.pdf</t>
  </si>
  <si>
    <t>5758</t>
  </si>
  <si>
    <t>سوق السلاح رقم الفاتوره 5802.pdf</t>
  </si>
  <si>
    <t>5802</t>
  </si>
  <si>
    <t>شركة الذهب للتيريد رقم الفاتوره 26.pdf</t>
  </si>
  <si>
    <t>244068682</t>
  </si>
  <si>
    <t>طيبه لتوريدات العوازل رقم الفاتوره5.pdf</t>
  </si>
  <si>
    <t>5</t>
  </si>
  <si>
    <t>2026-06-11</t>
  </si>
  <si>
    <t>781221374</t>
  </si>
  <si>
    <t>طيبه لتوريدات العوزل رقم الفاتوره 13.pdf</t>
  </si>
  <si>
    <t>13</t>
  </si>
  <si>
    <t>2026-06-20</t>
  </si>
  <si>
    <t>طيبه للصناعات الهندسيه رقم الفاتوره 405.pdf</t>
  </si>
  <si>
    <t>405</t>
  </si>
  <si>
    <t>207566399</t>
  </si>
  <si>
    <t>طيبه للصناعات الهندسيه رقم الفاتوره 410.pdf</t>
  </si>
  <si>
    <t>410</t>
  </si>
  <si>
    <t>طيبه للصناعات الهندسيه رقم الفاتوره 414.pdf</t>
  </si>
  <si>
    <t>414</t>
  </si>
  <si>
    <t>45</t>
  </si>
  <si>
    <t>فريجو ماستر رقم الفاتوره 3884.pdf</t>
  </si>
  <si>
    <t>3884</t>
  </si>
  <si>
    <t>376875259</t>
  </si>
  <si>
    <t>كونجا كار لتجاره السيارة رقم الفاتوره 203.pdf</t>
  </si>
  <si>
    <t>203</t>
  </si>
  <si>
    <t>774877235</t>
  </si>
  <si>
    <t>ماران اثا  رقم الفاتوره 111.pdf</t>
  </si>
  <si>
    <t>111</t>
  </si>
  <si>
    <t>207406324</t>
  </si>
  <si>
    <t>ماران اثا 112.pdf</t>
  </si>
  <si>
    <t>112</t>
  </si>
  <si>
    <t>ماران اثا رقم الفاتوره 101.pdf</t>
  </si>
  <si>
    <t>101</t>
  </si>
  <si>
    <t>ماران اثا رقم الفاتوره 102.pdf</t>
  </si>
  <si>
    <t>102</t>
  </si>
  <si>
    <t>ماران اثا رقم الفاتوره 103.pdf</t>
  </si>
  <si>
    <t>103</t>
  </si>
  <si>
    <t>ماران اثا رقم الفاتوره 105.pdf</t>
  </si>
  <si>
    <t>105</t>
  </si>
  <si>
    <t>ماران اثا رقم الفاتوره 106.pdf</t>
  </si>
  <si>
    <t>106</t>
  </si>
  <si>
    <t>ماران اثا رقم الفاتوره 116.pdf</t>
  </si>
  <si>
    <t>116</t>
  </si>
  <si>
    <t>2026-06-02</t>
  </si>
  <si>
    <t>ماران اثا رقم الفاتوره 117.pdf</t>
  </si>
  <si>
    <t>ماران اثا رقم الفاتوره 118.pdf</t>
  </si>
  <si>
    <t>118</t>
  </si>
  <si>
    <t>ماران اثا رقم الفاتوره 119.pdf</t>
  </si>
  <si>
    <t>119</t>
  </si>
  <si>
    <t>ماران اثا رقم الفاتوره 122.pdf</t>
  </si>
  <si>
    <t>122</t>
  </si>
  <si>
    <t>ماران اثا رقم الفاتوره 129.pdf</t>
  </si>
  <si>
    <t>129</t>
  </si>
  <si>
    <t>ماران اثا رقم الفاتوره 131.pdf</t>
  </si>
  <si>
    <t>131</t>
  </si>
  <si>
    <t>ماران اثا رقم الفاتوره 135.pdf</t>
  </si>
  <si>
    <t>135</t>
  </si>
  <si>
    <t>ماران اثا رقم الفاتوره 138.pdf</t>
  </si>
  <si>
    <t>138</t>
  </si>
  <si>
    <t>ماران اثا رقم الفاتوره 139.pdf</t>
  </si>
  <si>
    <t>139</t>
  </si>
  <si>
    <t>2026-06-23</t>
  </si>
  <si>
    <t>ماران اثا رقم الفاتوره 141.pdf</t>
  </si>
  <si>
    <t>ماران اثا رقم الفاتوره 142.pdf</t>
  </si>
  <si>
    <t>142</t>
  </si>
  <si>
    <t>ماران اثا رقم الفاتوره 34.pdf</t>
  </si>
  <si>
    <t>34</t>
  </si>
  <si>
    <t>ماران اثا رقم الفاتوره 35.pdf</t>
  </si>
  <si>
    <t>35</t>
  </si>
  <si>
    <t>ماران اثا رقم الفاتوره 36.pdf</t>
  </si>
  <si>
    <t>36</t>
  </si>
  <si>
    <t>ماران اثا رقم الفاتوره 38.pdf</t>
  </si>
  <si>
    <t>ماران اثا رقم الفاتوره 39.pdf</t>
  </si>
  <si>
    <t>39</t>
  </si>
  <si>
    <t>ماران اثا رقم الفاتوره 43.pdf</t>
  </si>
  <si>
    <t>43</t>
  </si>
  <si>
    <t>ماران اثا رقم الفاتوره 45.pdf</t>
  </si>
  <si>
    <t>ماران اثا رقم الفاتوره 49.pdf</t>
  </si>
  <si>
    <t>49</t>
  </si>
  <si>
    <t>ماران اثا رقم الفاتوره 50.pdf</t>
  </si>
  <si>
    <t>50</t>
  </si>
  <si>
    <t>ماران اثا رقم الفاتوره 51.pdf</t>
  </si>
  <si>
    <t>51</t>
  </si>
  <si>
    <t>ماران اثا رقم الفاتوره 52.pdf</t>
  </si>
  <si>
    <t>52</t>
  </si>
  <si>
    <t>ماران اثا رقم الفاتوره 55.pdf</t>
  </si>
  <si>
    <t>55</t>
  </si>
  <si>
    <t>ماران اثا رقم الفاتوره 56.pdf</t>
  </si>
  <si>
    <t>56</t>
  </si>
  <si>
    <t>ماران اثا رقم الفاتوره 57.pdf</t>
  </si>
  <si>
    <t>57</t>
  </si>
  <si>
    <t>ماران اثا رقم الفاتوره 58.pdf</t>
  </si>
  <si>
    <t>58</t>
  </si>
  <si>
    <t>2026-03-12</t>
  </si>
  <si>
    <t>ماران اثا رقم الفاتوره 60.pdf</t>
  </si>
  <si>
    <t>2026-03-25</t>
  </si>
  <si>
    <t>ماران اثا رقم الفاتوره 61.pdf</t>
  </si>
  <si>
    <t>61</t>
  </si>
  <si>
    <t>ماران اثا رقم الفاتوره 65.pdf</t>
  </si>
  <si>
    <t>65</t>
  </si>
  <si>
    <t>ماران اثا رقم الفاتوره 66.pdf</t>
  </si>
  <si>
    <t>66</t>
  </si>
  <si>
    <t>ماران اثا رقم الفاتوره 68.pdf</t>
  </si>
  <si>
    <t>68</t>
  </si>
  <si>
    <t>ماران اثا رقم الفاتوره 70.pdf</t>
  </si>
  <si>
    <t>70</t>
  </si>
  <si>
    <t>ماران اثا رقم الفاتوره 76.pdf</t>
  </si>
  <si>
    <t>76</t>
  </si>
  <si>
    <t>ماران اثا رقم الفاتوره 81.pdf</t>
  </si>
  <si>
    <t>81</t>
  </si>
  <si>
    <t>ماران اثا رقم الفاتوره 86.pdf</t>
  </si>
  <si>
    <t>86</t>
  </si>
  <si>
    <t>ماران اثا رقم الفاتوره 89.pdf</t>
  </si>
  <si>
    <t>89</t>
  </si>
  <si>
    <t>ماران اثا رقم الفاتوره 93.pdf</t>
  </si>
  <si>
    <t>93</t>
  </si>
  <si>
    <t>ماران اثا رقم الفاتوره 94.pdf</t>
  </si>
  <si>
    <t>94</t>
  </si>
  <si>
    <t>ماران اثا رقم الفاتوره 97.pdf</t>
  </si>
  <si>
    <t>97</t>
  </si>
  <si>
    <t>2026-05-04</t>
  </si>
  <si>
    <t>مارن اثا رقم الفاتور 3.pdf</t>
  </si>
  <si>
    <t>3</t>
  </si>
  <si>
    <t>مارن اثا رقم الفاتوره 10.pdf</t>
  </si>
  <si>
    <t>10</t>
  </si>
  <si>
    <t>مارن اثا رقم الفاتوره 14.pdf</t>
  </si>
  <si>
    <t>14</t>
  </si>
  <si>
    <t>مارن اثا رقم الفاتوره 16.pdf</t>
  </si>
  <si>
    <t>16</t>
  </si>
  <si>
    <t>مارن اثا رقم الفاتوره 2.pdf</t>
  </si>
  <si>
    <t>2</t>
  </si>
  <si>
    <t>مارن اثا رقم الفاتوره 20.pdf</t>
  </si>
  <si>
    <t>20</t>
  </si>
  <si>
    <t>مارن اثا رقم الفاتوره 23.pdf</t>
  </si>
  <si>
    <t>23</t>
  </si>
  <si>
    <t>مارن اثا رقم الفاتوره 24.pdf</t>
  </si>
  <si>
    <t>24</t>
  </si>
  <si>
    <t>مارن اثا رقم الفاتوره 27.pdf</t>
  </si>
  <si>
    <t>27</t>
  </si>
  <si>
    <t>مارن اثا رقم الفاتوره 8.pdf</t>
  </si>
  <si>
    <t>8</t>
  </si>
  <si>
    <t>مارن اثا رقم الفاتوره 85.pdf</t>
  </si>
  <si>
    <t>85</t>
  </si>
  <si>
    <t>مارن اثا رقم الفاتوره 9.pdf</t>
  </si>
  <si>
    <t>9</t>
  </si>
  <si>
    <t>متلنتوميش رقم الفاتوره 106.pdf</t>
  </si>
  <si>
    <t>2026-01-29</t>
  </si>
  <si>
    <t>777667703</t>
  </si>
  <si>
    <t>محمود جمعه رقم الفاتوره 821.pdf</t>
  </si>
  <si>
    <t>821</t>
  </si>
  <si>
    <t>449751112</t>
  </si>
  <si>
    <t>مدينة كنوز مصر للروخام رقم الفاتوره 706.pdf</t>
  </si>
  <si>
    <t>723554765</t>
  </si>
  <si>
    <t>مصر لغازات رقم الفاتوره 10609.pdf</t>
  </si>
  <si>
    <t>10609</t>
  </si>
  <si>
    <t>مصر للغازات رقم الفااتوره 10479.pdf</t>
  </si>
  <si>
    <t>10479</t>
  </si>
  <si>
    <t>مصر للغازات رقم الفاتوره 10770.pdf</t>
  </si>
  <si>
    <t>10770</t>
  </si>
  <si>
    <t>مصر للغازات لرقم الفاتوره 10914.pdf</t>
  </si>
  <si>
    <t>10914</t>
  </si>
  <si>
    <t>مصطفى كامل رقم الفاتوره 252.pdf</t>
  </si>
  <si>
    <t>252</t>
  </si>
  <si>
    <t>313325766</t>
  </si>
  <si>
    <t>مصطفى كامل رقم الفاتوره 256.pdf</t>
  </si>
  <si>
    <t>256</t>
  </si>
  <si>
    <t>مضطفى كامل رقم الفاتوره 240.pdf</t>
  </si>
  <si>
    <t>240</t>
  </si>
  <si>
    <t>مكاسب لتجارة الاستانلس رقم الفاتوره 291.pdf</t>
  </si>
  <si>
    <t>291</t>
  </si>
  <si>
    <t>2026-02-25</t>
  </si>
  <si>
    <t>767021681</t>
  </si>
  <si>
    <t>موج للصناعات المتطوره رقم الفاتوره 2491.pdf</t>
  </si>
  <si>
    <t>2491</t>
  </si>
  <si>
    <t>431157316</t>
  </si>
  <si>
    <t>موسسة الرضوان رقم الفاتوره 6525.pdf</t>
  </si>
  <si>
    <t>6525</t>
  </si>
  <si>
    <t>237659530</t>
  </si>
  <si>
    <t>موسسة الرضوان رقم الفاتوره 6526.pdf</t>
  </si>
  <si>
    <t>6526</t>
  </si>
  <si>
    <t>نكايب لتجارة رقم الفاتوره 364.pdf</t>
  </si>
  <si>
    <t>364</t>
  </si>
  <si>
    <t>نيو المصريه رقم الفاتوره 108.pdf</t>
  </si>
  <si>
    <t>108</t>
  </si>
  <si>
    <t>771750331</t>
  </si>
  <si>
    <t>نيو المصريه رقم الفاتوره 113.pdf</t>
  </si>
  <si>
    <t>113</t>
  </si>
  <si>
    <t>نيو المصريه رقم الفاتوره 121.pdf</t>
  </si>
  <si>
    <t>121</t>
  </si>
  <si>
    <t>نيو المصريه رقم الفاتوره 125.pdf</t>
  </si>
  <si>
    <t>125</t>
  </si>
  <si>
    <t>نيو المصريه رقم الفاتوره 130.pdf</t>
  </si>
  <si>
    <t>130</t>
  </si>
  <si>
    <t>نيو المصريه رقم الفاتوره 132.pdf</t>
  </si>
  <si>
    <t>132</t>
  </si>
  <si>
    <t>نيو المصريه رقم الفاتوره 134.pdf</t>
  </si>
  <si>
    <t>134</t>
  </si>
  <si>
    <t>2026-04-05</t>
  </si>
  <si>
    <t>نيو المصريه رقم الفاتوره 136.pdf</t>
  </si>
  <si>
    <t>136</t>
  </si>
  <si>
    <t>نيو المصريه رقم الفاتوره 141.pdf</t>
  </si>
  <si>
    <t>نيو المصريه رقم الفاتوره 142.pdf</t>
  </si>
  <si>
    <t>نيو المصريه رقم الفاتوره 143.pdf</t>
  </si>
  <si>
    <t>143</t>
  </si>
  <si>
    <t>نيو المصريه رقم الفاتوره 99.pdf</t>
  </si>
  <si>
    <t>99</t>
  </si>
  <si>
    <t>2026-01-03</t>
  </si>
  <si>
    <t>وليد محمد عبدالله رقم الفاتوره 193.pdf</t>
  </si>
  <si>
    <t>193</t>
  </si>
  <si>
    <t>100261752</t>
  </si>
  <si>
    <t>ياسر محمد رقم الفاتوره 24306.pdf</t>
  </si>
  <si>
    <t>310606780</t>
  </si>
  <si>
    <t>ياسر محمد رقم الفاتوره 25216.pdf</t>
  </si>
  <si>
    <t>25216</t>
  </si>
  <si>
    <t>ياسر محمد رقم الفاتوره 25607.pdf</t>
  </si>
  <si>
    <t>25607</t>
  </si>
  <si>
    <t>2026-04-23</t>
  </si>
  <si>
    <t>ياسر محمد رقم الفاتوره 26250.pdf</t>
  </si>
  <si>
    <t>26250</t>
  </si>
  <si>
    <t>الإجمالي</t>
  </si>
  <si>
    <t>البند</t>
  </si>
  <si>
    <t>القيمة</t>
  </si>
  <si>
    <t>عدد الفواتير</t>
  </si>
  <si>
    <t>فواتير بها قيم ناقصة</t>
  </si>
  <si>
    <t>اجمالي المشتريات (ج.م)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</si>
</sst>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sz val="11"/>
      <color rgb="FF888888"/>
      <name val="Calibri"/>
    </font>
    <font>
      <b/>
      <sz val="11"/>
      <name val="Calibri"/>
    </font>
    <font>
      <b/>
      <sz val="11"/>
      <color rgb="FFFFFFFF"/>
      <name val="Calibri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D6EAF8"/>
      </patternFill>
    </fill>
  </fills>
  <borders count="2">
    <border>
      <left/>
      <right/>
      <top/>
      <bottom/>
      <diagonal/>
    </border>
    <border>
      <left/>
      <right/>
      <top style="thin">
        <color rgb="FF1F4E79"/>
      </top>
      <bottom style="thin">
        <color rgb="FF1F4E7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4" fontId="2" fillId="0" borderId="0" xfId="0" applyNumberFormat="1" applyFont="1" applyAlignment="1">
      <alignment horizontal="right" vertical="center"/>
    </xf>
    <xf numFmtId="4" fontId="3" fillId="0" borderId="0" xfId="0" applyNumberFormat="1" applyFont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4" fontId="2" fillId="3" borderId="0" xfId="0" applyNumberFormat="1" applyFont="1" applyFill="1" applyAlignment="1">
      <alignment horizontal="right" vertical="center"/>
    </xf>
    <xf numFmtId="4" fontId="3" fillId="3" borderId="0" xfId="0" applyNumberFormat="1" applyFont="1" applyFill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4" fillId="4" borderId="0" xfId="0" applyFont="1" applyFill="1" applyAlignment="1">
      <alignment horizontal="right" vertical="center"/>
    </xf>
    <xf numFmtId="4" fontId="4" fillId="4" borderId="0" xfId="0" applyNumberFormat="1" applyFont="1" applyFill="1" applyAlignment="1">
      <alignment horizontal="right" vertical="center"/>
    </xf>
    <xf numFmtId="0" fontId="5" fillId="2" borderId="0" xfId="0" applyFont="1" applyFill="1"/>
    <xf numFmtId="4" fontId="0" fillId="0" borderId="0" xfId="0" applyNumberFormat="1"/>
    <xf numFmtId="14" fontId="2" fillId="0" borderId="0" xfId="0" applyNumberFormat="1" applyFont="1" applyAlignment="1">
      <alignment horizontal="right" vertical="center"/>
    </xf>
    <xf numFmtId="4" fontId="6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26"/>
  <sheetViews>
    <sheetView rightToLeft="1" tabSelected="1" topLeftCell="B1" workbookViewId="0">
      <pane ySplit="1" topLeftCell="A2" activePane="bottomLeft" state="frozen"/>
      <selection pane="bottomLeft" activeCell="G7" sqref="G7"/>
    </sheetView>
  </sheetViews>
  <sheetFormatPr defaultRowHeight="15"/>
  <cols>
    <col min="1" max="1" width="42" customWidth="1"/>
    <col min="2" max="3" width="16" customWidth="1"/>
    <col min="4" max="4" width="20" customWidth="1"/>
    <col min="5" max="7" width="22" customWidth="1"/>
    <col min="8" max="8" width="32" bestFit="1" customWidth="1"/>
    <col min="9" max="9" width="22" customWidth="1"/>
  </cols>
  <sheetData>
    <row r="1" spans="1:9" s="1" customFormat="1" ht="27.9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834</v>
      </c>
      <c r="F1" s="2" t="s">
        <v>5</v>
      </c>
      <c r="G1" s="2" t="s">
        <v>7</v>
      </c>
      <c r="H1" s="2" t="s">
        <v>8</v>
      </c>
      <c r="I1" s="2" t="s">
        <v>10</v>
      </c>
    </row>
    <row r="2" spans="1:9" s="3" customFormat="1">
      <c r="A2" s="3" t="s">
        <v>603</v>
      </c>
      <c r="B2" s="3" t="s">
        <v>604</v>
      </c>
      <c r="C2" s="14">
        <v>46131</v>
      </c>
      <c r="D2" s="3" t="s">
        <v>15</v>
      </c>
      <c r="E2" s="15">
        <v>531678.80000000005</v>
      </c>
      <c r="F2" s="5">
        <v>0</v>
      </c>
      <c r="G2" s="15">
        <f>E2*0.14</f>
        <v>74435.032000000007</v>
      </c>
      <c r="H2" s="5">
        <v>0</v>
      </c>
      <c r="I2" s="15">
        <f>E2+G2</f>
        <v>606113.83200000005</v>
      </c>
    </row>
    <row r="3" spans="1:9" s="3" customFormat="1">
      <c r="A3" s="3" t="s">
        <v>761</v>
      </c>
      <c r="B3" s="3" t="s">
        <v>93</v>
      </c>
      <c r="C3" s="14">
        <v>46022</v>
      </c>
      <c r="D3" s="3" t="s">
        <v>762</v>
      </c>
      <c r="E3" s="4">
        <v>14468</v>
      </c>
      <c r="F3" s="4">
        <v>0</v>
      </c>
      <c r="G3" s="4">
        <v>2025.52</v>
      </c>
      <c r="H3" s="5">
        <v>0</v>
      </c>
      <c r="I3" s="4">
        <v>16493.52</v>
      </c>
    </row>
    <row r="4" spans="1:9" s="3" customFormat="1">
      <c r="A4" s="3" t="s">
        <v>290</v>
      </c>
      <c r="B4" s="3" t="s">
        <v>291</v>
      </c>
      <c r="C4" s="3" t="s">
        <v>292</v>
      </c>
      <c r="D4" s="3" t="s">
        <v>293</v>
      </c>
      <c r="E4" s="4">
        <v>6775</v>
      </c>
      <c r="F4" s="4">
        <v>0</v>
      </c>
      <c r="G4" s="4">
        <v>948.5</v>
      </c>
      <c r="H4" s="5">
        <v>0</v>
      </c>
      <c r="I4" s="4">
        <v>7723.5</v>
      </c>
    </row>
    <row r="5" spans="1:9" s="3" customFormat="1">
      <c r="A5" s="6" t="s">
        <v>556</v>
      </c>
      <c r="B5" s="6" t="s">
        <v>557</v>
      </c>
      <c r="C5" s="6" t="s">
        <v>292</v>
      </c>
      <c r="D5" s="6" t="s">
        <v>558</v>
      </c>
      <c r="E5" s="7">
        <v>31756.14</v>
      </c>
      <c r="F5" s="7">
        <v>0</v>
      </c>
      <c r="G5" s="7">
        <v>4445.8599999999997</v>
      </c>
      <c r="H5" s="8">
        <v>0</v>
      </c>
      <c r="I5" s="7">
        <v>36202</v>
      </c>
    </row>
    <row r="6" spans="1:9" s="3" customFormat="1">
      <c r="A6" s="3" t="s">
        <v>814</v>
      </c>
      <c r="B6" s="3" t="s">
        <v>815</v>
      </c>
      <c r="C6" s="3" t="s">
        <v>816</v>
      </c>
      <c r="D6" s="3" t="s">
        <v>794</v>
      </c>
      <c r="E6" s="4">
        <v>840</v>
      </c>
      <c r="F6" s="4">
        <v>0</v>
      </c>
      <c r="G6" s="4">
        <v>117.6</v>
      </c>
      <c r="H6" s="4">
        <v>8.4</v>
      </c>
      <c r="I6" s="4">
        <v>949.2</v>
      </c>
    </row>
    <row r="7" spans="1:9" s="3" customFormat="1">
      <c r="A7" s="3" t="s">
        <v>63</v>
      </c>
      <c r="B7" s="3" t="s">
        <v>64</v>
      </c>
      <c r="C7" s="3" t="s">
        <v>65</v>
      </c>
      <c r="D7" s="3" t="s">
        <v>62</v>
      </c>
      <c r="E7" s="4">
        <v>368953.59999999998</v>
      </c>
      <c r="F7" s="4">
        <v>0</v>
      </c>
      <c r="G7" s="4">
        <v>51653.504000000001</v>
      </c>
      <c r="H7" s="4">
        <v>3689.5360000000001</v>
      </c>
      <c r="I7" s="4">
        <v>416917.56800000003</v>
      </c>
    </row>
    <row r="8" spans="1:9" s="3" customFormat="1">
      <c r="A8" s="3" t="s">
        <v>156</v>
      </c>
      <c r="B8" s="3" t="s">
        <v>157</v>
      </c>
      <c r="C8" s="3" t="s">
        <v>65</v>
      </c>
      <c r="D8" s="3" t="s">
        <v>158</v>
      </c>
      <c r="E8" s="4">
        <v>31875</v>
      </c>
      <c r="F8" s="4">
        <v>0</v>
      </c>
      <c r="G8" s="4">
        <v>4462.5</v>
      </c>
      <c r="H8" s="5">
        <v>0</v>
      </c>
      <c r="I8" s="4">
        <v>36337.5</v>
      </c>
    </row>
    <row r="9" spans="1:9" s="3" customFormat="1">
      <c r="A9" s="6" t="s">
        <v>365</v>
      </c>
      <c r="B9" s="6" t="s">
        <v>366</v>
      </c>
      <c r="C9" s="6" t="s">
        <v>367</v>
      </c>
      <c r="D9" s="6" t="s">
        <v>340</v>
      </c>
      <c r="E9" s="7">
        <v>33040</v>
      </c>
      <c r="F9" s="7">
        <v>0</v>
      </c>
      <c r="G9" s="7">
        <v>4625.6000000000004</v>
      </c>
      <c r="H9" s="7">
        <v>330.4</v>
      </c>
      <c r="I9" s="7">
        <v>37335.199999999997</v>
      </c>
    </row>
    <row r="10" spans="1:9" s="3" customFormat="1">
      <c r="A10" s="6" t="s">
        <v>159</v>
      </c>
      <c r="B10" s="6" t="s">
        <v>160</v>
      </c>
      <c r="C10" s="6" t="s">
        <v>161</v>
      </c>
      <c r="D10" s="6" t="s">
        <v>158</v>
      </c>
      <c r="E10" s="7">
        <v>27000</v>
      </c>
      <c r="F10" s="7">
        <v>0</v>
      </c>
      <c r="G10" s="7">
        <v>3780</v>
      </c>
      <c r="H10" s="8">
        <v>0</v>
      </c>
      <c r="I10" s="7">
        <v>30780</v>
      </c>
    </row>
    <row r="11" spans="1:9" s="3" customFormat="1">
      <c r="A11" s="6" t="s">
        <v>66</v>
      </c>
      <c r="B11" s="6" t="s">
        <v>67</v>
      </c>
      <c r="C11" s="6" t="s">
        <v>68</v>
      </c>
      <c r="D11" s="6" t="s">
        <v>62</v>
      </c>
      <c r="E11" s="7">
        <v>110394.94</v>
      </c>
      <c r="F11" s="7">
        <v>0</v>
      </c>
      <c r="G11" s="7">
        <v>15455.2916</v>
      </c>
      <c r="H11" s="7">
        <v>1103.9494</v>
      </c>
      <c r="I11" s="7">
        <v>124746.2822</v>
      </c>
    </row>
    <row r="12" spans="1:9" s="3" customFormat="1">
      <c r="A12" s="3" t="s">
        <v>598</v>
      </c>
      <c r="B12" s="3" t="s">
        <v>599</v>
      </c>
      <c r="C12" s="3" t="s">
        <v>600</v>
      </c>
      <c r="D12" s="3" t="s">
        <v>155</v>
      </c>
      <c r="E12" s="4">
        <v>3090</v>
      </c>
      <c r="F12" s="4">
        <v>0</v>
      </c>
      <c r="G12" s="4">
        <v>432.6</v>
      </c>
      <c r="H12" s="4">
        <v>30.9</v>
      </c>
      <c r="I12" s="4">
        <v>3491.7</v>
      </c>
    </row>
    <row r="13" spans="1:9" s="3" customFormat="1">
      <c r="A13" s="3" t="s">
        <v>368</v>
      </c>
      <c r="B13" s="3" t="s">
        <v>369</v>
      </c>
      <c r="C13" s="3" t="s">
        <v>370</v>
      </c>
      <c r="D13" s="3" t="s">
        <v>340</v>
      </c>
      <c r="E13" s="4">
        <v>74605</v>
      </c>
      <c r="F13" s="4">
        <v>0</v>
      </c>
      <c r="G13" s="4">
        <v>10444.700000000001</v>
      </c>
      <c r="H13" s="4">
        <v>746.05</v>
      </c>
      <c r="I13" s="4">
        <v>84303.65</v>
      </c>
    </row>
    <row r="14" spans="1:9" s="3" customFormat="1">
      <c r="A14" s="3" t="s">
        <v>162</v>
      </c>
      <c r="B14" s="3" t="s">
        <v>163</v>
      </c>
      <c r="C14" s="3" t="s">
        <v>164</v>
      </c>
      <c r="D14" s="3" t="s">
        <v>158</v>
      </c>
      <c r="E14" s="4">
        <v>123000</v>
      </c>
      <c r="F14" s="4">
        <v>0</v>
      </c>
      <c r="G14" s="4">
        <v>17220</v>
      </c>
      <c r="H14" s="5">
        <v>0</v>
      </c>
      <c r="I14" s="4">
        <v>140220</v>
      </c>
    </row>
    <row r="15" spans="1:9" s="3" customFormat="1">
      <c r="A15" s="6" t="s">
        <v>16</v>
      </c>
      <c r="B15" s="6" t="s">
        <v>17</v>
      </c>
      <c r="C15" s="6" t="s">
        <v>18</v>
      </c>
      <c r="D15" s="6" t="s">
        <v>19</v>
      </c>
      <c r="E15" s="7">
        <v>26000</v>
      </c>
      <c r="F15" s="7">
        <v>0</v>
      </c>
      <c r="G15" s="7">
        <v>3640</v>
      </c>
      <c r="H15" s="7">
        <v>260</v>
      </c>
      <c r="I15" s="7">
        <v>29380</v>
      </c>
    </row>
    <row r="16" spans="1:9" s="3" customFormat="1">
      <c r="A16" s="3" t="s">
        <v>196</v>
      </c>
      <c r="B16" s="3" t="s">
        <v>197</v>
      </c>
      <c r="C16" s="3" t="s">
        <v>18</v>
      </c>
      <c r="D16" s="3" t="s">
        <v>195</v>
      </c>
      <c r="E16" s="4">
        <v>5000</v>
      </c>
      <c r="F16" s="4">
        <v>0</v>
      </c>
      <c r="G16" s="4">
        <v>700</v>
      </c>
      <c r="H16" s="4">
        <v>50</v>
      </c>
      <c r="I16" s="4">
        <v>5650</v>
      </c>
    </row>
    <row r="17" spans="1:9" s="3" customFormat="1">
      <c r="A17" s="6" t="s">
        <v>219</v>
      </c>
      <c r="B17" s="6" t="s">
        <v>220</v>
      </c>
      <c r="C17" s="6" t="s">
        <v>18</v>
      </c>
      <c r="D17" s="6" t="s">
        <v>221</v>
      </c>
      <c r="E17" s="7">
        <v>8100</v>
      </c>
      <c r="F17" s="7">
        <v>0</v>
      </c>
      <c r="G17" s="7">
        <v>1134</v>
      </c>
      <c r="H17" s="7">
        <v>81</v>
      </c>
      <c r="I17" s="7">
        <v>9153</v>
      </c>
    </row>
    <row r="18" spans="1:9" s="3" customFormat="1">
      <c r="A18" s="3" t="s">
        <v>344</v>
      </c>
      <c r="B18" s="3" t="s">
        <v>345</v>
      </c>
      <c r="C18" s="3" t="s">
        <v>18</v>
      </c>
      <c r="D18" s="3" t="s">
        <v>343</v>
      </c>
      <c r="E18" s="4">
        <v>4350</v>
      </c>
      <c r="F18" s="4">
        <v>0</v>
      </c>
      <c r="G18" s="4">
        <v>609</v>
      </c>
      <c r="H18" s="5">
        <v>0</v>
      </c>
      <c r="I18" s="4">
        <v>4959</v>
      </c>
    </row>
    <row r="19" spans="1:9" s="3" customFormat="1">
      <c r="A19" s="3" t="s">
        <v>445</v>
      </c>
      <c r="B19" s="3" t="s">
        <v>446</v>
      </c>
      <c r="C19" s="3" t="s">
        <v>18</v>
      </c>
      <c r="D19" s="3" t="s">
        <v>444</v>
      </c>
      <c r="E19" s="4">
        <v>23550</v>
      </c>
      <c r="F19" s="4">
        <v>0</v>
      </c>
      <c r="G19" s="4">
        <v>3297</v>
      </c>
      <c r="H19" s="4">
        <v>235.5</v>
      </c>
      <c r="I19" s="4">
        <v>26611.5</v>
      </c>
    </row>
    <row r="20" spans="1:9" s="3" customFormat="1">
      <c r="A20" s="6" t="s">
        <v>371</v>
      </c>
      <c r="B20" s="6" t="s">
        <v>372</v>
      </c>
      <c r="C20" s="6" t="s">
        <v>373</v>
      </c>
      <c r="D20" s="6" t="s">
        <v>340</v>
      </c>
      <c r="E20" s="7">
        <v>110616.54</v>
      </c>
      <c r="F20" s="7">
        <v>0</v>
      </c>
      <c r="G20" s="7">
        <v>15486.3156</v>
      </c>
      <c r="H20" s="7">
        <v>1106.1654000000001</v>
      </c>
      <c r="I20" s="7">
        <v>124996.6902</v>
      </c>
    </row>
    <row r="21" spans="1:9" s="3" customFormat="1">
      <c r="A21" s="6" t="s">
        <v>586</v>
      </c>
      <c r="B21" s="6" t="s">
        <v>587</v>
      </c>
      <c r="C21" s="6" t="s">
        <v>373</v>
      </c>
      <c r="D21" s="6" t="s">
        <v>588</v>
      </c>
      <c r="E21" s="7">
        <v>7250</v>
      </c>
      <c r="F21" s="7">
        <v>0</v>
      </c>
      <c r="G21" s="7">
        <v>1015</v>
      </c>
      <c r="H21" s="8">
        <v>0</v>
      </c>
      <c r="I21" s="7">
        <v>8265</v>
      </c>
    </row>
    <row r="22" spans="1:9" s="3" customFormat="1">
      <c r="A22" s="6" t="s">
        <v>731</v>
      </c>
      <c r="B22" s="6" t="s">
        <v>732</v>
      </c>
      <c r="C22" s="6" t="s">
        <v>373</v>
      </c>
      <c r="D22" s="6" t="s">
        <v>638</v>
      </c>
      <c r="E22" s="7">
        <v>30787.5</v>
      </c>
      <c r="F22" s="7">
        <v>0</v>
      </c>
      <c r="G22" s="7">
        <v>4310.25</v>
      </c>
      <c r="H22" s="8">
        <v>0</v>
      </c>
      <c r="I22" s="7">
        <v>35097.75</v>
      </c>
    </row>
    <row r="23" spans="1:9" s="3" customFormat="1">
      <c r="A23" s="6" t="s">
        <v>739</v>
      </c>
      <c r="B23" s="6" t="s">
        <v>740</v>
      </c>
      <c r="C23" s="6" t="s">
        <v>373</v>
      </c>
      <c r="D23" s="6" t="s">
        <v>638</v>
      </c>
      <c r="E23" s="7">
        <v>8725</v>
      </c>
      <c r="F23" s="7">
        <v>0</v>
      </c>
      <c r="G23" s="7">
        <v>1221.5</v>
      </c>
      <c r="H23" s="8">
        <v>0</v>
      </c>
      <c r="I23" s="7">
        <v>9946.5</v>
      </c>
    </row>
    <row r="24" spans="1:9" s="3" customFormat="1">
      <c r="A24" s="6" t="s">
        <v>126</v>
      </c>
      <c r="B24" s="6" t="s">
        <v>127</v>
      </c>
      <c r="C24" s="6" t="s">
        <v>128</v>
      </c>
      <c r="D24" s="6" t="s">
        <v>125</v>
      </c>
      <c r="E24" s="7">
        <v>70500</v>
      </c>
      <c r="F24" s="7">
        <v>0</v>
      </c>
      <c r="G24" s="7">
        <v>9870</v>
      </c>
      <c r="H24" s="8">
        <v>0</v>
      </c>
      <c r="I24" s="7">
        <v>80370</v>
      </c>
    </row>
    <row r="25" spans="1:9" s="3" customFormat="1">
      <c r="A25" s="6" t="s">
        <v>165</v>
      </c>
      <c r="B25" s="6" t="s">
        <v>166</v>
      </c>
      <c r="C25" s="6" t="s">
        <v>128</v>
      </c>
      <c r="D25" s="6" t="s">
        <v>158</v>
      </c>
      <c r="E25" s="7">
        <v>75000</v>
      </c>
      <c r="F25" s="7">
        <v>0</v>
      </c>
      <c r="G25" s="7">
        <v>10500</v>
      </c>
      <c r="H25" s="8">
        <v>0</v>
      </c>
      <c r="I25" s="7">
        <v>85500</v>
      </c>
    </row>
    <row r="26" spans="1:9" s="3" customFormat="1">
      <c r="A26" s="6" t="s">
        <v>193</v>
      </c>
      <c r="B26" s="6" t="s">
        <v>194</v>
      </c>
      <c r="C26" s="6" t="s">
        <v>128</v>
      </c>
      <c r="D26" s="6" t="s">
        <v>195</v>
      </c>
      <c r="E26" s="7">
        <v>12500</v>
      </c>
      <c r="F26" s="7">
        <v>0</v>
      </c>
      <c r="G26" s="7">
        <v>1750</v>
      </c>
      <c r="H26" s="7">
        <v>125</v>
      </c>
      <c r="I26" s="7">
        <v>14125</v>
      </c>
    </row>
    <row r="27" spans="1:9" s="3" customFormat="1">
      <c r="A27" s="3" t="s">
        <v>235</v>
      </c>
      <c r="B27" s="3" t="s">
        <v>236</v>
      </c>
      <c r="C27" s="3" t="s">
        <v>128</v>
      </c>
      <c r="D27" s="3" t="s">
        <v>237</v>
      </c>
      <c r="E27" s="4">
        <v>6750</v>
      </c>
      <c r="F27" s="4">
        <v>0</v>
      </c>
      <c r="G27" s="4">
        <v>945</v>
      </c>
      <c r="H27" s="4">
        <v>67.5</v>
      </c>
      <c r="I27" s="4">
        <v>7627.5</v>
      </c>
    </row>
    <row r="28" spans="1:9" s="3" customFormat="1">
      <c r="A28" s="3" t="s">
        <v>338</v>
      </c>
      <c r="B28" s="3" t="s">
        <v>339</v>
      </c>
      <c r="C28" s="3" t="s">
        <v>128</v>
      </c>
      <c r="D28" s="3" t="s">
        <v>340</v>
      </c>
      <c r="E28" s="4">
        <v>55620</v>
      </c>
      <c r="F28" s="4">
        <v>0</v>
      </c>
      <c r="G28" s="4">
        <v>7786.8</v>
      </c>
      <c r="H28" s="4">
        <v>556.20000000000005</v>
      </c>
      <c r="I28" s="4">
        <v>62850.6</v>
      </c>
    </row>
    <row r="29" spans="1:9" s="3" customFormat="1">
      <c r="A29" s="6" t="s">
        <v>605</v>
      </c>
      <c r="B29" s="6" t="s">
        <v>606</v>
      </c>
      <c r="C29" s="6" t="s">
        <v>607</v>
      </c>
      <c r="D29" s="6" t="s">
        <v>608</v>
      </c>
      <c r="E29" s="7">
        <v>31625</v>
      </c>
      <c r="F29" s="7">
        <v>0</v>
      </c>
      <c r="G29" s="7">
        <v>4427.5</v>
      </c>
      <c r="H29" s="8">
        <v>0</v>
      </c>
      <c r="I29" s="7">
        <v>36052.5</v>
      </c>
    </row>
    <row r="30" spans="1:9" s="3" customFormat="1">
      <c r="A30" s="3" t="s">
        <v>733</v>
      </c>
      <c r="B30" s="3" t="s">
        <v>734</v>
      </c>
      <c r="C30" s="3" t="s">
        <v>607</v>
      </c>
      <c r="D30" s="3" t="s">
        <v>638</v>
      </c>
      <c r="E30" s="4">
        <v>9935</v>
      </c>
      <c r="F30" s="4">
        <v>0</v>
      </c>
      <c r="G30" s="4">
        <v>1390.9</v>
      </c>
      <c r="H30" s="5">
        <v>0</v>
      </c>
      <c r="I30" s="4">
        <v>11325.9</v>
      </c>
    </row>
    <row r="31" spans="1:9" s="3" customFormat="1">
      <c r="A31" s="3" t="s">
        <v>749</v>
      </c>
      <c r="B31" s="3" t="s">
        <v>750</v>
      </c>
      <c r="C31" s="3" t="s">
        <v>607</v>
      </c>
      <c r="D31" s="3" t="s">
        <v>638</v>
      </c>
      <c r="E31" s="4">
        <v>238423.57</v>
      </c>
      <c r="F31" s="4">
        <v>0</v>
      </c>
      <c r="G31" s="4">
        <v>33379.299800000001</v>
      </c>
      <c r="H31" s="5">
        <v>0</v>
      </c>
      <c r="I31" s="4">
        <v>271802.86979999999</v>
      </c>
    </row>
    <row r="32" spans="1:9" s="3" customFormat="1">
      <c r="A32" s="3" t="s">
        <v>753</v>
      </c>
      <c r="B32" s="3" t="s">
        <v>754</v>
      </c>
      <c r="C32" s="3" t="s">
        <v>607</v>
      </c>
      <c r="D32" s="3" t="s">
        <v>638</v>
      </c>
      <c r="E32" s="4">
        <v>18929.25</v>
      </c>
      <c r="F32" s="4">
        <v>0</v>
      </c>
      <c r="G32" s="4">
        <v>2650.0949999999998</v>
      </c>
      <c r="H32" s="5">
        <v>0</v>
      </c>
      <c r="I32" s="4">
        <v>21579.345000000001</v>
      </c>
    </row>
    <row r="33" spans="1:9" s="3" customFormat="1">
      <c r="A33" s="6" t="s">
        <v>238</v>
      </c>
      <c r="B33" s="6" t="s">
        <v>239</v>
      </c>
      <c r="C33" s="6" t="s">
        <v>240</v>
      </c>
      <c r="D33" s="6" t="s">
        <v>237</v>
      </c>
      <c r="E33" s="7">
        <v>12325</v>
      </c>
      <c r="F33" s="7">
        <v>0</v>
      </c>
      <c r="G33" s="7">
        <v>1725.5</v>
      </c>
      <c r="H33" s="7">
        <v>123.25</v>
      </c>
      <c r="I33" s="7">
        <v>13927.25</v>
      </c>
    </row>
    <row r="34" spans="1:9" s="3" customFormat="1">
      <c r="A34" s="6" t="s">
        <v>447</v>
      </c>
      <c r="B34" s="6" t="s">
        <v>448</v>
      </c>
      <c r="C34" s="6" t="s">
        <v>240</v>
      </c>
      <c r="D34" s="6" t="s">
        <v>444</v>
      </c>
      <c r="E34" s="7">
        <v>2500</v>
      </c>
      <c r="F34" s="7">
        <v>0</v>
      </c>
      <c r="G34" s="7">
        <v>350</v>
      </c>
      <c r="H34" s="7">
        <v>25</v>
      </c>
      <c r="I34" s="7">
        <v>2825</v>
      </c>
    </row>
    <row r="35" spans="1:9" s="3" customFormat="1">
      <c r="A35" s="6" t="s">
        <v>198</v>
      </c>
      <c r="B35" s="6" t="s">
        <v>199</v>
      </c>
      <c r="C35" s="6" t="s">
        <v>200</v>
      </c>
      <c r="D35" s="6" t="s">
        <v>195</v>
      </c>
      <c r="E35" s="7">
        <v>5000</v>
      </c>
      <c r="F35" s="7">
        <v>0</v>
      </c>
      <c r="G35" s="7">
        <v>700</v>
      </c>
      <c r="H35" s="7">
        <v>50</v>
      </c>
      <c r="I35" s="7">
        <v>5650</v>
      </c>
    </row>
    <row r="36" spans="1:9" s="3" customFormat="1">
      <c r="A36" s="3" t="s">
        <v>241</v>
      </c>
      <c r="B36" s="3" t="s">
        <v>242</v>
      </c>
      <c r="C36" s="3" t="s">
        <v>243</v>
      </c>
      <c r="D36" s="3" t="s">
        <v>237</v>
      </c>
      <c r="E36" s="4">
        <v>2400</v>
      </c>
      <c r="F36" s="4">
        <v>0</v>
      </c>
      <c r="G36" s="4">
        <v>336</v>
      </c>
      <c r="H36" s="4">
        <v>24</v>
      </c>
      <c r="I36" s="4">
        <v>2712</v>
      </c>
    </row>
    <row r="37" spans="1:9" s="3" customFormat="1">
      <c r="A37" s="6" t="s">
        <v>341</v>
      </c>
      <c r="B37" s="6" t="s">
        <v>342</v>
      </c>
      <c r="C37" s="6" t="s">
        <v>243</v>
      </c>
      <c r="D37" s="6" t="s">
        <v>343</v>
      </c>
      <c r="E37" s="7">
        <v>17500</v>
      </c>
      <c r="F37" s="7">
        <v>0</v>
      </c>
      <c r="G37" s="7">
        <v>2450</v>
      </c>
      <c r="H37" s="8">
        <v>0</v>
      </c>
      <c r="I37" s="7">
        <v>19950</v>
      </c>
    </row>
    <row r="38" spans="1:9" s="3" customFormat="1">
      <c r="A38" s="3" t="s">
        <v>449</v>
      </c>
      <c r="B38" s="3" t="s">
        <v>450</v>
      </c>
      <c r="C38" s="3" t="s">
        <v>243</v>
      </c>
      <c r="D38" s="3" t="s">
        <v>444</v>
      </c>
      <c r="E38" s="4">
        <v>8250</v>
      </c>
      <c r="F38" s="4">
        <v>0</v>
      </c>
      <c r="G38" s="4">
        <v>1155</v>
      </c>
      <c r="H38" s="4">
        <v>82.5</v>
      </c>
      <c r="I38" s="4">
        <v>9322.5</v>
      </c>
    </row>
    <row r="39" spans="1:9" s="3" customFormat="1">
      <c r="A39" s="6" t="s">
        <v>561</v>
      </c>
      <c r="B39" s="6" t="s">
        <v>562</v>
      </c>
      <c r="C39" s="6" t="s">
        <v>243</v>
      </c>
      <c r="D39" s="6" t="s">
        <v>558</v>
      </c>
      <c r="E39" s="7">
        <v>37544.519999999997</v>
      </c>
      <c r="F39" s="7">
        <v>0</v>
      </c>
      <c r="G39" s="7">
        <v>5256.24</v>
      </c>
      <c r="H39" s="8">
        <v>0</v>
      </c>
      <c r="I39" s="7">
        <v>42800.76</v>
      </c>
    </row>
    <row r="40" spans="1:9" s="3" customFormat="1">
      <c r="A40" s="6" t="s">
        <v>735</v>
      </c>
      <c r="B40" s="6" t="s">
        <v>736</v>
      </c>
      <c r="C40" s="6" t="s">
        <v>243</v>
      </c>
      <c r="D40" s="6" t="s">
        <v>638</v>
      </c>
      <c r="E40" s="7">
        <v>25977.55</v>
      </c>
      <c r="F40" s="7">
        <v>0</v>
      </c>
      <c r="G40" s="7">
        <v>3636.857</v>
      </c>
      <c r="H40" s="8">
        <v>0</v>
      </c>
      <c r="I40" s="7">
        <v>29614.406999999999</v>
      </c>
    </row>
    <row r="41" spans="1:9" s="3" customFormat="1">
      <c r="A41" s="3" t="s">
        <v>69</v>
      </c>
      <c r="B41" s="3" t="s">
        <v>70</v>
      </c>
      <c r="C41" s="3" t="s">
        <v>71</v>
      </c>
      <c r="D41" s="3" t="s">
        <v>62</v>
      </c>
      <c r="E41" s="4">
        <v>83220</v>
      </c>
      <c r="F41" s="4">
        <v>0</v>
      </c>
      <c r="G41" s="4">
        <v>11650.8</v>
      </c>
      <c r="H41" s="4">
        <v>832.2</v>
      </c>
      <c r="I41" s="4">
        <v>94038.6</v>
      </c>
    </row>
    <row r="42" spans="1:9" s="3" customFormat="1">
      <c r="A42" s="3" t="s">
        <v>167</v>
      </c>
      <c r="B42" s="3" t="s">
        <v>168</v>
      </c>
      <c r="C42" s="3" t="s">
        <v>71</v>
      </c>
      <c r="D42" s="3" t="s">
        <v>158</v>
      </c>
      <c r="E42" s="4">
        <v>37500</v>
      </c>
      <c r="F42" s="4">
        <v>0</v>
      </c>
      <c r="G42" s="4">
        <v>5250</v>
      </c>
      <c r="H42" s="5">
        <v>0</v>
      </c>
      <c r="I42" s="4">
        <v>42750</v>
      </c>
    </row>
    <row r="43" spans="1:9" s="3" customFormat="1">
      <c r="A43" s="3" t="s">
        <v>374</v>
      </c>
      <c r="B43" s="3" t="s">
        <v>375</v>
      </c>
      <c r="C43" s="3" t="s">
        <v>71</v>
      </c>
      <c r="D43" s="3" t="s">
        <v>340</v>
      </c>
      <c r="E43" s="4">
        <v>31500</v>
      </c>
      <c r="F43" s="4">
        <v>0</v>
      </c>
      <c r="G43" s="4">
        <v>4410</v>
      </c>
      <c r="H43" s="4">
        <v>315</v>
      </c>
      <c r="I43" s="4">
        <v>35595</v>
      </c>
    </row>
    <row r="44" spans="1:9" s="3" customFormat="1">
      <c r="A44" s="6" t="s">
        <v>451</v>
      </c>
      <c r="B44" s="6" t="s">
        <v>452</v>
      </c>
      <c r="C44" s="6" t="s">
        <v>71</v>
      </c>
      <c r="D44" s="6" t="s">
        <v>444</v>
      </c>
      <c r="E44" s="7">
        <v>15850</v>
      </c>
      <c r="F44" s="7">
        <v>0</v>
      </c>
      <c r="G44" s="7">
        <v>2219</v>
      </c>
      <c r="H44" s="7">
        <v>158.5</v>
      </c>
      <c r="I44" s="7">
        <v>17910.5</v>
      </c>
    </row>
    <row r="45" spans="1:9" s="3" customFormat="1">
      <c r="A45" s="6" t="s">
        <v>622</v>
      </c>
      <c r="B45" s="6" t="s">
        <v>623</v>
      </c>
      <c r="C45" s="6" t="s">
        <v>71</v>
      </c>
      <c r="D45" s="6" t="s">
        <v>624</v>
      </c>
      <c r="E45" s="7">
        <v>1315</v>
      </c>
      <c r="F45" s="7">
        <v>0</v>
      </c>
      <c r="G45" s="7">
        <v>184.1</v>
      </c>
      <c r="H45" s="8">
        <v>0</v>
      </c>
      <c r="I45" s="7">
        <v>1499.1</v>
      </c>
    </row>
    <row r="46" spans="1:9" s="3" customFormat="1">
      <c r="A46" s="3" t="s">
        <v>737</v>
      </c>
      <c r="B46" s="3" t="s">
        <v>738</v>
      </c>
      <c r="C46" s="3" t="s">
        <v>71</v>
      </c>
      <c r="D46" s="3" t="s">
        <v>638</v>
      </c>
      <c r="E46" s="4">
        <v>10795.8</v>
      </c>
      <c r="F46" s="4">
        <v>0</v>
      </c>
      <c r="G46" s="4">
        <v>1511.412</v>
      </c>
      <c r="H46" s="5">
        <v>0</v>
      </c>
      <c r="I46" s="4">
        <v>12307.212</v>
      </c>
    </row>
    <row r="47" spans="1:9" s="3" customFormat="1">
      <c r="A47" s="6" t="s">
        <v>59</v>
      </c>
      <c r="B47" s="6" t="s">
        <v>60</v>
      </c>
      <c r="C47" s="6" t="s">
        <v>61</v>
      </c>
      <c r="D47" s="6" t="s">
        <v>62</v>
      </c>
      <c r="E47" s="7">
        <v>235708</v>
      </c>
      <c r="F47" s="7">
        <v>0</v>
      </c>
      <c r="G47" s="7">
        <v>32999.120000000003</v>
      </c>
      <c r="H47" s="7">
        <v>2357.08</v>
      </c>
      <c r="I47" s="7">
        <v>266350.03999999998</v>
      </c>
    </row>
    <row r="48" spans="1:9" s="3" customFormat="1">
      <c r="A48" s="6" t="s">
        <v>346</v>
      </c>
      <c r="B48" s="6" t="s">
        <v>347</v>
      </c>
      <c r="C48" s="6" t="s">
        <v>61</v>
      </c>
      <c r="D48" s="6" t="s">
        <v>343</v>
      </c>
      <c r="E48" s="7">
        <v>36000</v>
      </c>
      <c r="F48" s="7">
        <v>0</v>
      </c>
      <c r="G48" s="7">
        <v>5040</v>
      </c>
      <c r="H48" s="8">
        <v>0</v>
      </c>
      <c r="I48" s="7">
        <v>41040</v>
      </c>
    </row>
    <row r="49" spans="1:9" s="3" customFormat="1">
      <c r="A49" s="6" t="s">
        <v>792</v>
      </c>
      <c r="B49" s="6" t="s">
        <v>793</v>
      </c>
      <c r="C49" s="6" t="s">
        <v>61</v>
      </c>
      <c r="D49" s="6" t="s">
        <v>794</v>
      </c>
      <c r="E49" s="7">
        <v>22125</v>
      </c>
      <c r="F49" s="7">
        <v>0</v>
      </c>
      <c r="G49" s="7">
        <v>3097.5</v>
      </c>
      <c r="H49" s="7">
        <v>221.25</v>
      </c>
      <c r="I49" s="7">
        <v>25001.25</v>
      </c>
    </row>
    <row r="50" spans="1:9" s="3" customFormat="1">
      <c r="A50" s="6" t="s">
        <v>543</v>
      </c>
      <c r="B50" s="6" t="s">
        <v>544</v>
      </c>
      <c r="C50" s="6" t="s">
        <v>545</v>
      </c>
      <c r="D50" s="6" t="s">
        <v>542</v>
      </c>
      <c r="E50" s="7">
        <v>8116.8</v>
      </c>
      <c r="F50" s="7">
        <v>0</v>
      </c>
      <c r="G50" s="7">
        <v>1136.3520000000001</v>
      </c>
      <c r="H50" s="7">
        <v>0</v>
      </c>
      <c r="I50" s="7">
        <v>9253.152</v>
      </c>
    </row>
    <row r="51" spans="1:9" s="3" customFormat="1">
      <c r="A51" s="3" t="s">
        <v>56</v>
      </c>
      <c r="B51" s="3" t="s">
        <v>57</v>
      </c>
      <c r="C51" s="3" t="s">
        <v>58</v>
      </c>
      <c r="D51" s="3" t="s">
        <v>55</v>
      </c>
      <c r="E51" s="4">
        <v>11880</v>
      </c>
      <c r="F51" s="4">
        <v>0</v>
      </c>
      <c r="G51" s="4">
        <v>1663.2</v>
      </c>
      <c r="H51" s="5">
        <v>0</v>
      </c>
      <c r="I51" s="4">
        <v>13543.2</v>
      </c>
    </row>
    <row r="52" spans="1:9" s="3" customFormat="1">
      <c r="A52" s="6" t="s">
        <v>72</v>
      </c>
      <c r="B52" s="6" t="s">
        <v>73</v>
      </c>
      <c r="C52" s="6" t="s">
        <v>58</v>
      </c>
      <c r="D52" s="6" t="s">
        <v>62</v>
      </c>
      <c r="E52" s="7">
        <v>68510</v>
      </c>
      <c r="F52" s="7">
        <v>0</v>
      </c>
      <c r="G52" s="7">
        <v>9591.4</v>
      </c>
      <c r="H52" s="7">
        <v>685.1</v>
      </c>
      <c r="I52" s="7">
        <v>77416.3</v>
      </c>
    </row>
    <row r="53" spans="1:9" s="3" customFormat="1">
      <c r="A53" s="6" t="s">
        <v>244</v>
      </c>
      <c r="B53" s="6" t="s">
        <v>245</v>
      </c>
      <c r="C53" s="6" t="s">
        <v>58</v>
      </c>
      <c r="D53" s="6" t="s">
        <v>237</v>
      </c>
      <c r="E53" s="7">
        <v>1785</v>
      </c>
      <c r="F53" s="7">
        <v>0</v>
      </c>
      <c r="G53" s="7">
        <v>249.9</v>
      </c>
      <c r="H53" s="7">
        <v>17.850000000000001</v>
      </c>
      <c r="I53" s="7">
        <v>2017.05</v>
      </c>
    </row>
    <row r="54" spans="1:9" s="3" customFormat="1">
      <c r="A54" s="6" t="s">
        <v>294</v>
      </c>
      <c r="B54" s="6" t="s">
        <v>295</v>
      </c>
      <c r="C54" s="6" t="s">
        <v>58</v>
      </c>
      <c r="D54" s="6" t="s">
        <v>293</v>
      </c>
      <c r="E54" s="7">
        <v>1443</v>
      </c>
      <c r="F54" s="7">
        <v>0</v>
      </c>
      <c r="G54" s="7">
        <v>202.02</v>
      </c>
      <c r="H54" s="8">
        <v>0</v>
      </c>
      <c r="I54" s="7">
        <v>1645.02</v>
      </c>
    </row>
    <row r="55" spans="1:9" s="3" customFormat="1">
      <c r="A55" s="6" t="s">
        <v>422</v>
      </c>
      <c r="B55" s="6" t="s">
        <v>423</v>
      </c>
      <c r="C55" s="6" t="s">
        <v>58</v>
      </c>
      <c r="D55" s="6" t="s">
        <v>421</v>
      </c>
      <c r="E55" s="7">
        <v>637964.03200000001</v>
      </c>
      <c r="F55" s="7">
        <v>0</v>
      </c>
      <c r="G55" s="7">
        <v>89314.964999999997</v>
      </c>
      <c r="H55" s="8">
        <v>0</v>
      </c>
      <c r="I55" s="7">
        <v>727278.99699999997</v>
      </c>
    </row>
    <row r="56" spans="1:9" s="3" customFormat="1">
      <c r="A56" s="3" t="s">
        <v>184</v>
      </c>
      <c r="B56" s="3" t="s">
        <v>185</v>
      </c>
      <c r="C56" s="3" t="s">
        <v>186</v>
      </c>
      <c r="D56" s="3" t="s">
        <v>158</v>
      </c>
      <c r="E56" s="4">
        <v>1800</v>
      </c>
      <c r="F56" s="4">
        <v>0</v>
      </c>
      <c r="G56" s="4">
        <v>252</v>
      </c>
      <c r="H56" s="5">
        <v>0</v>
      </c>
      <c r="I56" s="4">
        <v>2052</v>
      </c>
    </row>
    <row r="57" spans="1:9" s="3" customFormat="1">
      <c r="A57" s="6" t="s">
        <v>376</v>
      </c>
      <c r="B57" s="6" t="s">
        <v>377</v>
      </c>
      <c r="C57" s="6" t="s">
        <v>186</v>
      </c>
      <c r="D57" s="6" t="s">
        <v>340</v>
      </c>
      <c r="E57" s="7">
        <v>247501.21</v>
      </c>
      <c r="F57" s="7">
        <v>0</v>
      </c>
      <c r="G57" s="7">
        <v>34650.169399999999</v>
      </c>
      <c r="H57" s="7">
        <v>2475.0120999999999</v>
      </c>
      <c r="I57" s="7">
        <v>279676.36729999998</v>
      </c>
    </row>
    <row r="58" spans="1:9" s="3" customFormat="1">
      <c r="A58" s="6" t="s">
        <v>169</v>
      </c>
      <c r="B58" s="6" t="s">
        <v>170</v>
      </c>
      <c r="C58" s="6" t="s">
        <v>171</v>
      </c>
      <c r="D58" s="6" t="s">
        <v>158</v>
      </c>
      <c r="E58" s="7">
        <v>10800</v>
      </c>
      <c r="F58" s="7">
        <v>0</v>
      </c>
      <c r="G58" s="7">
        <v>1512</v>
      </c>
      <c r="H58" s="8">
        <v>0</v>
      </c>
      <c r="I58" s="7">
        <v>12312</v>
      </c>
    </row>
    <row r="59" spans="1:9" s="3" customFormat="1">
      <c r="A59" s="3" t="s">
        <v>201</v>
      </c>
      <c r="B59" s="3" t="s">
        <v>202</v>
      </c>
      <c r="C59" s="3" t="s">
        <v>171</v>
      </c>
      <c r="D59" s="3" t="s">
        <v>195</v>
      </c>
      <c r="E59" s="4">
        <v>11500</v>
      </c>
      <c r="F59" s="4">
        <v>0</v>
      </c>
      <c r="G59" s="4">
        <v>1610</v>
      </c>
      <c r="H59" s="4">
        <v>115</v>
      </c>
      <c r="I59" s="4">
        <v>12995</v>
      </c>
    </row>
    <row r="60" spans="1:9" s="3" customFormat="1">
      <c r="A60" s="3" t="s">
        <v>501</v>
      </c>
      <c r="B60" s="3" t="s">
        <v>502</v>
      </c>
      <c r="C60" s="3" t="s">
        <v>171</v>
      </c>
      <c r="D60" s="3" t="s">
        <v>487</v>
      </c>
      <c r="E60" s="4">
        <v>9800</v>
      </c>
      <c r="F60" s="4">
        <v>0</v>
      </c>
      <c r="G60" s="4">
        <v>1372</v>
      </c>
      <c r="H60" s="5">
        <v>0</v>
      </c>
      <c r="I60" s="4">
        <v>11172</v>
      </c>
    </row>
    <row r="61" spans="1:9" s="3" customFormat="1">
      <c r="A61" s="6" t="s">
        <v>503</v>
      </c>
      <c r="B61" s="6" t="s">
        <v>504</v>
      </c>
      <c r="C61" s="6" t="s">
        <v>171</v>
      </c>
      <c r="D61" s="6" t="s">
        <v>487</v>
      </c>
      <c r="E61" s="7">
        <v>2581</v>
      </c>
      <c r="F61" s="7">
        <v>0</v>
      </c>
      <c r="G61" s="7">
        <v>361.34</v>
      </c>
      <c r="H61" s="8">
        <v>0</v>
      </c>
      <c r="I61" s="7">
        <v>2942.34</v>
      </c>
    </row>
    <row r="62" spans="1:9" s="3" customFormat="1">
      <c r="A62" s="3" t="s">
        <v>741</v>
      </c>
      <c r="B62" s="3" t="s">
        <v>742</v>
      </c>
      <c r="C62" s="3" t="s">
        <v>171</v>
      </c>
      <c r="D62" s="3" t="s">
        <v>638</v>
      </c>
      <c r="E62" s="4">
        <v>13184.5</v>
      </c>
      <c r="F62" s="4">
        <v>0</v>
      </c>
      <c r="G62" s="4">
        <v>1845.83</v>
      </c>
      <c r="H62" s="5">
        <v>0</v>
      </c>
      <c r="I62" s="4">
        <v>15030.33</v>
      </c>
    </row>
    <row r="63" spans="1:9" s="3" customFormat="1">
      <c r="A63" s="6" t="s">
        <v>755</v>
      </c>
      <c r="B63" s="6" t="s">
        <v>650</v>
      </c>
      <c r="C63" s="6" t="s">
        <v>756</v>
      </c>
      <c r="D63" s="6" t="s">
        <v>757</v>
      </c>
      <c r="E63" s="7">
        <v>25400</v>
      </c>
      <c r="F63" s="7">
        <v>0</v>
      </c>
      <c r="G63" s="7">
        <v>3556</v>
      </c>
      <c r="H63" s="8">
        <v>0</v>
      </c>
      <c r="I63" s="7">
        <v>28956</v>
      </c>
    </row>
    <row r="64" spans="1:9" s="3" customFormat="1">
      <c r="A64" s="3" t="s">
        <v>526</v>
      </c>
      <c r="B64" s="3" t="s">
        <v>527</v>
      </c>
      <c r="C64" s="3" t="s">
        <v>528</v>
      </c>
      <c r="D64" s="3" t="s">
        <v>529</v>
      </c>
      <c r="E64" s="4">
        <v>507985</v>
      </c>
      <c r="F64" s="4">
        <v>0</v>
      </c>
      <c r="G64" s="4">
        <v>71117.899999999994</v>
      </c>
      <c r="H64" s="4">
        <v>5079.8500000000004</v>
      </c>
      <c r="I64" s="4">
        <v>574023.05000000005</v>
      </c>
    </row>
    <row r="65" spans="1:9" s="3" customFormat="1">
      <c r="A65" s="3" t="s">
        <v>11</v>
      </c>
      <c r="B65" s="3" t="s">
        <v>12</v>
      </c>
      <c r="C65" s="3" t="s">
        <v>13</v>
      </c>
      <c r="D65" s="3" t="s">
        <v>14</v>
      </c>
      <c r="E65" s="4">
        <v>25820</v>
      </c>
      <c r="F65" s="4">
        <v>0</v>
      </c>
      <c r="G65" s="4">
        <v>3614.8</v>
      </c>
      <c r="H65" s="5">
        <v>0</v>
      </c>
      <c r="I65" s="4">
        <v>29434.799999999999</v>
      </c>
    </row>
    <row r="66" spans="1:9" s="3" customFormat="1">
      <c r="A66" s="3" t="s">
        <v>296</v>
      </c>
      <c r="B66" s="3" t="s">
        <v>297</v>
      </c>
      <c r="C66" s="3" t="s">
        <v>13</v>
      </c>
      <c r="D66" s="3" t="s">
        <v>293</v>
      </c>
      <c r="E66" s="4">
        <v>25400</v>
      </c>
      <c r="F66" s="4">
        <v>0</v>
      </c>
      <c r="G66" s="4">
        <v>3556</v>
      </c>
      <c r="H66" s="5">
        <v>0</v>
      </c>
      <c r="I66" s="4">
        <v>28956</v>
      </c>
    </row>
    <row r="67" spans="1:9" s="3" customFormat="1">
      <c r="A67" s="3" t="s">
        <v>453</v>
      </c>
      <c r="B67" s="3" t="s">
        <v>454</v>
      </c>
      <c r="C67" s="3" t="s">
        <v>13</v>
      </c>
      <c r="D67" s="3" t="s">
        <v>444</v>
      </c>
      <c r="E67" s="4">
        <v>2050</v>
      </c>
      <c r="F67" s="4">
        <v>0</v>
      </c>
      <c r="G67" s="4">
        <v>287</v>
      </c>
      <c r="H67" s="4">
        <v>20.5</v>
      </c>
      <c r="I67" s="4">
        <v>2316.5</v>
      </c>
    </row>
    <row r="68" spans="1:9" s="3" customFormat="1">
      <c r="A68" s="3" t="s">
        <v>20</v>
      </c>
      <c r="B68" s="3" t="s">
        <v>21</v>
      </c>
      <c r="C68" s="3" t="s">
        <v>22</v>
      </c>
      <c r="D68" s="3" t="s">
        <v>19</v>
      </c>
      <c r="E68" s="4">
        <v>26000</v>
      </c>
      <c r="F68" s="4">
        <v>0</v>
      </c>
      <c r="G68" s="4">
        <v>3640</v>
      </c>
      <c r="H68" s="4">
        <v>260</v>
      </c>
      <c r="I68" s="4">
        <v>29380</v>
      </c>
    </row>
    <row r="69" spans="1:9" s="3" customFormat="1">
      <c r="A69" s="3" t="s">
        <v>246</v>
      </c>
      <c r="B69" s="3" t="s">
        <v>247</v>
      </c>
      <c r="C69" s="3" t="s">
        <v>22</v>
      </c>
      <c r="D69" s="3" t="s">
        <v>237</v>
      </c>
      <c r="E69" s="4">
        <v>5250</v>
      </c>
      <c r="F69" s="4">
        <v>0</v>
      </c>
      <c r="G69" s="4">
        <v>735</v>
      </c>
      <c r="H69" s="4">
        <v>52.5</v>
      </c>
      <c r="I69" s="4">
        <v>5932.5</v>
      </c>
    </row>
    <row r="70" spans="1:9" s="3" customFormat="1">
      <c r="A70" s="3" t="s">
        <v>378</v>
      </c>
      <c r="B70" s="3" t="s">
        <v>379</v>
      </c>
      <c r="C70" s="3" t="s">
        <v>22</v>
      </c>
      <c r="D70" s="3" t="s">
        <v>340</v>
      </c>
      <c r="E70" s="4">
        <v>114000</v>
      </c>
      <c r="F70" s="4">
        <v>0</v>
      </c>
      <c r="G70" s="4">
        <v>15960</v>
      </c>
      <c r="H70" s="4">
        <v>1140</v>
      </c>
      <c r="I70" s="4">
        <v>128820</v>
      </c>
    </row>
    <row r="71" spans="1:9" s="3" customFormat="1">
      <c r="A71" s="3" t="s">
        <v>795</v>
      </c>
      <c r="B71" s="3" t="s">
        <v>796</v>
      </c>
      <c r="C71" s="3" t="s">
        <v>22</v>
      </c>
      <c r="D71" s="3" t="s">
        <v>794</v>
      </c>
      <c r="E71" s="4">
        <v>600</v>
      </c>
      <c r="F71" s="4">
        <v>0</v>
      </c>
      <c r="G71" s="4">
        <v>84</v>
      </c>
      <c r="H71" s="4">
        <v>6</v>
      </c>
      <c r="I71" s="4">
        <v>678</v>
      </c>
    </row>
    <row r="72" spans="1:9" s="3" customFormat="1">
      <c r="A72" s="6" t="s">
        <v>187</v>
      </c>
      <c r="B72" s="6" t="s">
        <v>188</v>
      </c>
      <c r="C72" s="6" t="s">
        <v>189</v>
      </c>
      <c r="D72" s="6" t="s">
        <v>158</v>
      </c>
      <c r="E72" s="7">
        <v>18750</v>
      </c>
      <c r="F72" s="7">
        <v>0</v>
      </c>
      <c r="G72" s="7">
        <v>2625</v>
      </c>
      <c r="H72" s="8">
        <v>0</v>
      </c>
      <c r="I72" s="7">
        <v>21375</v>
      </c>
    </row>
    <row r="73" spans="1:9" s="3" customFormat="1">
      <c r="A73" s="6" t="s">
        <v>820</v>
      </c>
      <c r="B73" s="6" t="s">
        <v>220</v>
      </c>
      <c r="C73" s="6" t="s">
        <v>189</v>
      </c>
      <c r="D73" s="6" t="s">
        <v>821</v>
      </c>
      <c r="E73" s="7">
        <v>1991.2280000000001</v>
      </c>
      <c r="F73" s="7">
        <v>0</v>
      </c>
      <c r="G73" s="7">
        <v>278.77192000000002</v>
      </c>
      <c r="H73" s="8">
        <v>0</v>
      </c>
      <c r="I73" s="7">
        <v>2269.9999200000002</v>
      </c>
    </row>
    <row r="74" spans="1:9" s="3" customFormat="1">
      <c r="A74" s="3" t="s">
        <v>74</v>
      </c>
      <c r="B74" s="3" t="s">
        <v>75</v>
      </c>
      <c r="C74" s="3" t="s">
        <v>76</v>
      </c>
      <c r="D74" s="3" t="s">
        <v>62</v>
      </c>
      <c r="E74" s="4">
        <v>126996</v>
      </c>
      <c r="F74" s="4">
        <v>0</v>
      </c>
      <c r="G74" s="4">
        <v>17779.439999999999</v>
      </c>
      <c r="H74" s="4">
        <v>1269.96</v>
      </c>
      <c r="I74" s="4">
        <v>143505.48000000001</v>
      </c>
    </row>
    <row r="75" spans="1:9" s="3" customFormat="1">
      <c r="A75" s="6" t="s">
        <v>743</v>
      </c>
      <c r="B75" s="6" t="s">
        <v>744</v>
      </c>
      <c r="C75" s="6" t="s">
        <v>76</v>
      </c>
      <c r="D75" s="6" t="s">
        <v>638</v>
      </c>
      <c r="E75" s="7">
        <v>30829.5</v>
      </c>
      <c r="F75" s="7">
        <v>0</v>
      </c>
      <c r="G75" s="7">
        <v>4316.13</v>
      </c>
      <c r="H75" s="8">
        <v>0</v>
      </c>
      <c r="I75" s="7">
        <v>35145.629999999997</v>
      </c>
    </row>
    <row r="76" spans="1:9" s="3" customFormat="1">
      <c r="A76" s="3" t="s">
        <v>745</v>
      </c>
      <c r="B76" s="3" t="s">
        <v>746</v>
      </c>
      <c r="C76" s="3" t="s">
        <v>76</v>
      </c>
      <c r="D76" s="3" t="s">
        <v>638</v>
      </c>
      <c r="E76" s="4">
        <v>36539.550000000003</v>
      </c>
      <c r="F76" s="4">
        <v>0</v>
      </c>
      <c r="G76" s="4">
        <v>5115.5370000000003</v>
      </c>
      <c r="H76" s="5">
        <v>0</v>
      </c>
      <c r="I76" s="4">
        <v>41655.087</v>
      </c>
    </row>
    <row r="77" spans="1:9" s="3" customFormat="1">
      <c r="A77" s="6" t="s">
        <v>455</v>
      </c>
      <c r="B77" s="6" t="s">
        <v>456</v>
      </c>
      <c r="C77" s="6" t="s">
        <v>457</v>
      </c>
      <c r="D77" s="6" t="s">
        <v>444</v>
      </c>
      <c r="E77" s="7">
        <v>12800</v>
      </c>
      <c r="F77" s="7">
        <v>0</v>
      </c>
      <c r="G77" s="7">
        <v>1792</v>
      </c>
      <c r="H77" s="7">
        <v>128</v>
      </c>
      <c r="I77" s="7">
        <v>14464</v>
      </c>
    </row>
    <row r="78" spans="1:9" s="3" customFormat="1">
      <c r="A78" s="3" t="s">
        <v>172</v>
      </c>
      <c r="B78" s="3" t="s">
        <v>173</v>
      </c>
      <c r="C78" s="3" t="s">
        <v>174</v>
      </c>
      <c r="D78" s="3" t="s">
        <v>158</v>
      </c>
      <c r="E78" s="4">
        <v>1525</v>
      </c>
      <c r="F78" s="4">
        <v>0</v>
      </c>
      <c r="G78" s="4">
        <v>213.5</v>
      </c>
      <c r="H78" s="5">
        <v>0</v>
      </c>
      <c r="I78" s="4">
        <v>1738.5</v>
      </c>
    </row>
    <row r="79" spans="1:9" s="3" customFormat="1">
      <c r="A79" s="3" t="s">
        <v>625</v>
      </c>
      <c r="B79" s="3" t="s">
        <v>626</v>
      </c>
      <c r="C79" s="3" t="s">
        <v>174</v>
      </c>
      <c r="D79" s="3" t="s">
        <v>624</v>
      </c>
      <c r="E79" s="4">
        <v>1370</v>
      </c>
      <c r="F79" s="4">
        <v>0</v>
      </c>
      <c r="G79" s="4">
        <v>191.8</v>
      </c>
      <c r="H79" s="5">
        <v>0</v>
      </c>
      <c r="I79" s="4">
        <v>1561.8</v>
      </c>
    </row>
    <row r="80" spans="1:9" s="3" customFormat="1">
      <c r="A80" s="6" t="s">
        <v>747</v>
      </c>
      <c r="B80" s="6" t="s">
        <v>748</v>
      </c>
      <c r="C80" s="6" t="s">
        <v>174</v>
      </c>
      <c r="D80" s="6" t="s">
        <v>638</v>
      </c>
      <c r="E80" s="7">
        <v>6750</v>
      </c>
      <c r="F80" s="7">
        <v>0</v>
      </c>
      <c r="G80" s="7">
        <v>945</v>
      </c>
      <c r="H80" s="8">
        <v>0</v>
      </c>
      <c r="I80" s="7">
        <v>7695</v>
      </c>
    </row>
    <row r="81" spans="1:9" s="3" customFormat="1">
      <c r="A81" s="3" t="s">
        <v>49</v>
      </c>
      <c r="B81" s="3" t="s">
        <v>50</v>
      </c>
      <c r="C81" s="3" t="s">
        <v>51</v>
      </c>
      <c r="D81" s="3" t="s">
        <v>32</v>
      </c>
      <c r="E81" s="4">
        <v>178815.2</v>
      </c>
      <c r="F81" s="4">
        <v>0</v>
      </c>
      <c r="G81" s="4">
        <v>25034.128000000001</v>
      </c>
      <c r="H81" s="5">
        <v>0</v>
      </c>
      <c r="I81" s="4">
        <v>203849.32800000001</v>
      </c>
    </row>
    <row r="82" spans="1:9" s="3" customFormat="1">
      <c r="A82" s="3" t="s">
        <v>140</v>
      </c>
      <c r="B82" s="3" t="s">
        <v>141</v>
      </c>
      <c r="C82" s="3" t="s">
        <v>51</v>
      </c>
      <c r="D82" s="3" t="s">
        <v>139</v>
      </c>
      <c r="E82" s="4">
        <v>90980</v>
      </c>
      <c r="F82" s="4">
        <v>0</v>
      </c>
      <c r="G82" s="4">
        <v>12737.2</v>
      </c>
      <c r="H82" s="4">
        <v>2729.4</v>
      </c>
      <c r="I82" s="4">
        <v>100987.8</v>
      </c>
    </row>
    <row r="83" spans="1:9" s="3" customFormat="1">
      <c r="A83" s="6" t="s">
        <v>776</v>
      </c>
      <c r="B83" s="6" t="s">
        <v>777</v>
      </c>
      <c r="C83" s="6" t="s">
        <v>51</v>
      </c>
      <c r="D83" s="6" t="s">
        <v>773</v>
      </c>
      <c r="E83" s="7">
        <v>9650</v>
      </c>
      <c r="F83" s="7">
        <v>0</v>
      </c>
      <c r="G83" s="7">
        <v>1351</v>
      </c>
      <c r="H83" s="8">
        <v>0</v>
      </c>
      <c r="I83" s="7">
        <v>11001</v>
      </c>
    </row>
    <row r="84" spans="1:9" s="3" customFormat="1">
      <c r="A84" s="6" t="s">
        <v>248</v>
      </c>
      <c r="B84" s="6" t="s">
        <v>249</v>
      </c>
      <c r="C84" s="6" t="s">
        <v>250</v>
      </c>
      <c r="D84" s="6" t="s">
        <v>237</v>
      </c>
      <c r="E84" s="7">
        <v>10345</v>
      </c>
      <c r="F84" s="7">
        <v>0</v>
      </c>
      <c r="G84" s="7">
        <v>1448.3</v>
      </c>
      <c r="H84" s="7">
        <v>103.45</v>
      </c>
      <c r="I84" s="7">
        <v>11689.85</v>
      </c>
    </row>
    <row r="85" spans="1:9" s="3" customFormat="1">
      <c r="A85" s="3" t="s">
        <v>419</v>
      </c>
      <c r="B85" s="3" t="s">
        <v>420</v>
      </c>
      <c r="C85" s="3" t="s">
        <v>250</v>
      </c>
      <c r="D85" s="3" t="s">
        <v>421</v>
      </c>
      <c r="E85" s="4">
        <v>768101.75399999996</v>
      </c>
      <c r="F85" s="4">
        <v>0</v>
      </c>
      <c r="G85" s="4">
        <v>107534.246</v>
      </c>
      <c r="H85" s="5">
        <v>0</v>
      </c>
      <c r="I85" s="4">
        <v>875635.99899999995</v>
      </c>
    </row>
    <row r="86" spans="1:9" s="3" customFormat="1">
      <c r="A86" s="3" t="s">
        <v>458</v>
      </c>
      <c r="B86" s="3" t="s">
        <v>459</v>
      </c>
      <c r="C86" s="3" t="s">
        <v>250</v>
      </c>
      <c r="D86" s="3" t="s">
        <v>444</v>
      </c>
      <c r="E86" s="4">
        <v>10070</v>
      </c>
      <c r="F86" s="4">
        <v>0</v>
      </c>
      <c r="G86" s="4">
        <v>1409.8</v>
      </c>
      <c r="H86" s="4">
        <v>100.7</v>
      </c>
      <c r="I86" s="4">
        <v>11379.1</v>
      </c>
    </row>
    <row r="87" spans="1:9" s="3" customFormat="1">
      <c r="A87" s="6" t="s">
        <v>508</v>
      </c>
      <c r="B87" s="6" t="s">
        <v>509</v>
      </c>
      <c r="C87" s="6" t="s">
        <v>250</v>
      </c>
      <c r="D87" s="6" t="s">
        <v>510</v>
      </c>
      <c r="E87" s="7">
        <v>183870</v>
      </c>
      <c r="F87" s="7">
        <v>0</v>
      </c>
      <c r="G87" s="8">
        <v>0</v>
      </c>
      <c r="H87" s="7">
        <v>1838.7</v>
      </c>
      <c r="I87" s="7">
        <v>182031.3</v>
      </c>
    </row>
    <row r="88" spans="1:9" s="3" customFormat="1">
      <c r="A88" s="6" t="s">
        <v>592</v>
      </c>
      <c r="B88" s="6" t="s">
        <v>593</v>
      </c>
      <c r="C88" s="6" t="s">
        <v>250</v>
      </c>
      <c r="D88" s="6" t="s">
        <v>588</v>
      </c>
      <c r="E88" s="7">
        <v>5535</v>
      </c>
      <c r="F88" s="7">
        <v>0</v>
      </c>
      <c r="G88" s="7">
        <v>774.9</v>
      </c>
      <c r="H88" s="8">
        <v>0</v>
      </c>
      <c r="I88" s="7">
        <v>6309.9</v>
      </c>
    </row>
    <row r="89" spans="1:9" s="3" customFormat="1">
      <c r="A89" s="6" t="s">
        <v>77</v>
      </c>
      <c r="B89" s="6" t="s">
        <v>78</v>
      </c>
      <c r="C89" s="6" t="s">
        <v>79</v>
      </c>
      <c r="D89" s="6" t="s">
        <v>62</v>
      </c>
      <c r="E89" s="7">
        <v>40125</v>
      </c>
      <c r="F89" s="7">
        <v>0</v>
      </c>
      <c r="G89" s="7">
        <v>5617.5</v>
      </c>
      <c r="H89" s="7">
        <v>401.25</v>
      </c>
      <c r="I89" s="7">
        <v>45341.25</v>
      </c>
    </row>
    <row r="90" spans="1:9" s="3" customFormat="1">
      <c r="A90" s="3" t="s">
        <v>540</v>
      </c>
      <c r="B90" s="3" t="s">
        <v>541</v>
      </c>
      <c r="C90" s="3" t="s">
        <v>79</v>
      </c>
      <c r="D90" s="3" t="s">
        <v>542</v>
      </c>
      <c r="E90" s="4">
        <v>12267.54</v>
      </c>
      <c r="F90" s="4">
        <v>0</v>
      </c>
      <c r="G90" s="4">
        <v>1717.4559999999999</v>
      </c>
      <c r="H90" s="4">
        <v>0</v>
      </c>
      <c r="I90" s="4">
        <v>13984.993</v>
      </c>
    </row>
    <row r="91" spans="1:9" s="3" customFormat="1">
      <c r="A91" s="6" t="s">
        <v>23</v>
      </c>
      <c r="B91" s="6" t="s">
        <v>24</v>
      </c>
      <c r="C91" s="6" t="s">
        <v>25</v>
      </c>
      <c r="D91" s="6" t="s">
        <v>19</v>
      </c>
      <c r="E91" s="7">
        <v>104519</v>
      </c>
      <c r="F91" s="7">
        <v>0</v>
      </c>
      <c r="G91" s="7">
        <v>14632.66</v>
      </c>
      <c r="H91" s="7">
        <v>1045.19</v>
      </c>
      <c r="I91" s="7">
        <v>118106.47</v>
      </c>
    </row>
    <row r="92" spans="1:9" s="3" customFormat="1">
      <c r="A92" s="3" t="s">
        <v>348</v>
      </c>
      <c r="B92" s="3" t="s">
        <v>349</v>
      </c>
      <c r="C92" s="3" t="s">
        <v>25</v>
      </c>
      <c r="D92" s="3" t="s">
        <v>343</v>
      </c>
      <c r="E92" s="4">
        <v>22500</v>
      </c>
      <c r="F92" s="4">
        <v>0</v>
      </c>
      <c r="G92" s="4">
        <v>3150</v>
      </c>
      <c r="H92" s="5">
        <v>0</v>
      </c>
      <c r="I92" s="4">
        <v>25650</v>
      </c>
    </row>
    <row r="93" spans="1:9" s="3" customFormat="1">
      <c r="A93" s="6" t="s">
        <v>627</v>
      </c>
      <c r="B93" s="6" t="s">
        <v>628</v>
      </c>
      <c r="C93" s="6" t="s">
        <v>25</v>
      </c>
      <c r="D93" s="6" t="s">
        <v>624</v>
      </c>
      <c r="E93" s="7">
        <v>525</v>
      </c>
      <c r="F93" s="7">
        <v>0</v>
      </c>
      <c r="G93" s="7">
        <v>73.5</v>
      </c>
      <c r="H93" s="8">
        <v>0</v>
      </c>
      <c r="I93" s="7">
        <v>598.5</v>
      </c>
    </row>
    <row r="94" spans="1:9" s="3" customFormat="1">
      <c r="A94" s="3" t="s">
        <v>80</v>
      </c>
      <c r="B94" s="3" t="s">
        <v>81</v>
      </c>
      <c r="C94" s="3" t="s">
        <v>82</v>
      </c>
      <c r="D94" s="3" t="s">
        <v>62</v>
      </c>
      <c r="E94" s="4">
        <v>78151.64</v>
      </c>
      <c r="F94" s="4">
        <v>0</v>
      </c>
      <c r="G94" s="4">
        <v>10941.229600000001</v>
      </c>
      <c r="H94" s="4">
        <v>781.51639999999998</v>
      </c>
      <c r="I94" s="4">
        <v>88311.353199999998</v>
      </c>
    </row>
    <row r="95" spans="1:9" s="3" customFormat="1">
      <c r="A95" s="3" t="s">
        <v>251</v>
      </c>
      <c r="B95" s="3" t="s">
        <v>252</v>
      </c>
      <c r="C95" s="3" t="s">
        <v>253</v>
      </c>
      <c r="D95" s="3" t="s">
        <v>237</v>
      </c>
      <c r="E95" s="4">
        <v>3380</v>
      </c>
      <c r="F95" s="4">
        <v>0</v>
      </c>
      <c r="G95" s="4">
        <v>473.2</v>
      </c>
      <c r="H95" s="4">
        <v>33.799999999999997</v>
      </c>
      <c r="I95" s="4">
        <v>3819.4</v>
      </c>
    </row>
    <row r="96" spans="1:9" s="3" customFormat="1">
      <c r="A96" s="6" t="s">
        <v>675</v>
      </c>
      <c r="B96" s="6" t="s">
        <v>676</v>
      </c>
      <c r="C96" s="6" t="s">
        <v>253</v>
      </c>
      <c r="D96" s="6" t="s">
        <v>638</v>
      </c>
      <c r="E96" s="7">
        <v>26305.32</v>
      </c>
      <c r="F96" s="7">
        <v>0</v>
      </c>
      <c r="G96" s="7">
        <v>3682.7447999999999</v>
      </c>
      <c r="H96" s="8">
        <v>0</v>
      </c>
      <c r="I96" s="7">
        <v>29988.0648</v>
      </c>
    </row>
    <row r="97" spans="1:9" s="3" customFormat="1">
      <c r="A97" s="3" t="s">
        <v>677</v>
      </c>
      <c r="B97" s="3" t="s">
        <v>678</v>
      </c>
      <c r="C97" s="3" t="s">
        <v>253</v>
      </c>
      <c r="D97" s="3" t="s">
        <v>638</v>
      </c>
      <c r="E97" s="4">
        <v>3861</v>
      </c>
      <c r="F97" s="4">
        <v>0</v>
      </c>
      <c r="G97" s="4">
        <v>540.54</v>
      </c>
      <c r="H97" s="5">
        <v>0</v>
      </c>
      <c r="I97" s="4">
        <v>4401.54</v>
      </c>
    </row>
    <row r="98" spans="1:9" s="3" customFormat="1">
      <c r="A98" s="6" t="s">
        <v>679</v>
      </c>
      <c r="B98" s="6" t="s">
        <v>680</v>
      </c>
      <c r="C98" s="6" t="s">
        <v>253</v>
      </c>
      <c r="D98" s="6" t="s">
        <v>638</v>
      </c>
      <c r="E98" s="7">
        <v>3425</v>
      </c>
      <c r="F98" s="7">
        <v>0</v>
      </c>
      <c r="G98" s="7">
        <v>479.5</v>
      </c>
      <c r="H98" s="8">
        <v>0</v>
      </c>
      <c r="I98" s="7">
        <v>3904.5</v>
      </c>
    </row>
    <row r="99" spans="1:9" s="3" customFormat="1">
      <c r="A99" s="6" t="s">
        <v>565</v>
      </c>
      <c r="B99" s="6" t="s">
        <v>566</v>
      </c>
      <c r="C99" s="6" t="s">
        <v>567</v>
      </c>
      <c r="D99" s="6" t="s">
        <v>558</v>
      </c>
      <c r="E99" s="7">
        <v>37544.519999999997</v>
      </c>
      <c r="F99" s="7">
        <v>0</v>
      </c>
      <c r="G99" s="7">
        <v>5256.24</v>
      </c>
      <c r="H99" s="8">
        <v>0</v>
      </c>
      <c r="I99" s="7">
        <v>42800.76</v>
      </c>
    </row>
    <row r="100" spans="1:9" s="3" customFormat="1">
      <c r="A100" s="6" t="s">
        <v>797</v>
      </c>
      <c r="B100" s="6" t="s">
        <v>798</v>
      </c>
      <c r="C100" s="6" t="s">
        <v>567</v>
      </c>
      <c r="D100" s="6" t="s">
        <v>794</v>
      </c>
      <c r="E100" s="7">
        <v>2875</v>
      </c>
      <c r="F100" s="7">
        <v>0</v>
      </c>
      <c r="G100" s="7">
        <v>402.5</v>
      </c>
      <c r="H100" s="7">
        <v>28.75</v>
      </c>
      <c r="I100" s="7">
        <v>3248.75</v>
      </c>
    </row>
    <row r="101" spans="1:9" s="3" customFormat="1">
      <c r="A101" s="6" t="s">
        <v>175</v>
      </c>
      <c r="B101" s="6" t="s">
        <v>176</v>
      </c>
      <c r="C101" s="6" t="s">
        <v>177</v>
      </c>
      <c r="D101" s="6" t="s">
        <v>158</v>
      </c>
      <c r="E101" s="7">
        <v>15300</v>
      </c>
      <c r="F101" s="7">
        <v>0</v>
      </c>
      <c r="G101" s="7">
        <v>2142</v>
      </c>
      <c r="H101" s="8">
        <v>0</v>
      </c>
      <c r="I101" s="7">
        <v>17442</v>
      </c>
    </row>
    <row r="102" spans="1:9" s="3" customFormat="1">
      <c r="A102" s="6" t="s">
        <v>380</v>
      </c>
      <c r="B102" s="6" t="s">
        <v>381</v>
      </c>
      <c r="C102" s="6" t="s">
        <v>177</v>
      </c>
      <c r="D102" s="6" t="s">
        <v>340</v>
      </c>
      <c r="E102" s="7">
        <v>220026.75</v>
      </c>
      <c r="F102" s="7">
        <v>0</v>
      </c>
      <c r="G102" s="7">
        <v>30803.744999999999</v>
      </c>
      <c r="H102" s="7">
        <v>2200.2674999999999</v>
      </c>
      <c r="I102" s="7">
        <v>248630.22750000001</v>
      </c>
    </row>
    <row r="103" spans="1:9" s="3" customFormat="1">
      <c r="A103" s="3" t="s">
        <v>681</v>
      </c>
      <c r="B103" s="3" t="s">
        <v>604</v>
      </c>
      <c r="C103" s="3" t="s">
        <v>177</v>
      </c>
      <c r="D103" s="3" t="s">
        <v>638</v>
      </c>
      <c r="E103" s="4">
        <v>29794.05</v>
      </c>
      <c r="F103" s="4">
        <v>0</v>
      </c>
      <c r="G103" s="4">
        <v>4171.1670000000004</v>
      </c>
      <c r="H103" s="5">
        <v>0</v>
      </c>
      <c r="I103" s="4">
        <v>33965.216999999997</v>
      </c>
    </row>
    <row r="104" spans="1:9" s="3" customFormat="1">
      <c r="A104" s="6" t="s">
        <v>682</v>
      </c>
      <c r="B104" s="6" t="s">
        <v>683</v>
      </c>
      <c r="C104" s="6" t="s">
        <v>177</v>
      </c>
      <c r="D104" s="6" t="s">
        <v>638</v>
      </c>
      <c r="E104" s="7">
        <v>4199.5</v>
      </c>
      <c r="F104" s="7">
        <v>0</v>
      </c>
      <c r="G104" s="7">
        <v>587.92999999999995</v>
      </c>
      <c r="H104" s="8">
        <v>0</v>
      </c>
      <c r="I104" s="7">
        <v>4787.43</v>
      </c>
    </row>
    <row r="105" spans="1:9" s="3" customFormat="1">
      <c r="A105" s="3" t="s">
        <v>133</v>
      </c>
      <c r="B105" s="3" t="s">
        <v>134</v>
      </c>
      <c r="C105" s="3" t="s">
        <v>135</v>
      </c>
      <c r="D105" s="3" t="s">
        <v>125</v>
      </c>
      <c r="E105" s="4">
        <v>70500</v>
      </c>
      <c r="F105" s="4">
        <v>0</v>
      </c>
      <c r="G105" s="4">
        <v>9870</v>
      </c>
      <c r="H105" s="5">
        <v>0</v>
      </c>
      <c r="I105" s="4">
        <v>80370</v>
      </c>
    </row>
    <row r="106" spans="1:9" s="3" customFormat="1">
      <c r="A106" s="6" t="s">
        <v>328</v>
      </c>
      <c r="B106" s="6" t="s">
        <v>329</v>
      </c>
      <c r="C106" s="6" t="s">
        <v>135</v>
      </c>
      <c r="D106" s="6" t="s">
        <v>317</v>
      </c>
      <c r="E106" s="7">
        <v>83660</v>
      </c>
      <c r="F106" s="7">
        <v>0</v>
      </c>
      <c r="G106" s="7">
        <v>11712.4</v>
      </c>
      <c r="H106" s="8">
        <v>0</v>
      </c>
      <c r="I106" s="7">
        <v>95372.4</v>
      </c>
    </row>
    <row r="107" spans="1:9" s="3" customFormat="1">
      <c r="A107" s="3" t="s">
        <v>330</v>
      </c>
      <c r="B107" s="3" t="s">
        <v>331</v>
      </c>
      <c r="C107" s="3" t="s">
        <v>135</v>
      </c>
      <c r="D107" s="3" t="s">
        <v>317</v>
      </c>
      <c r="E107" s="4">
        <v>53925</v>
      </c>
      <c r="F107" s="4">
        <v>0</v>
      </c>
      <c r="G107" s="4">
        <v>7549.5</v>
      </c>
      <c r="H107" s="5">
        <v>0</v>
      </c>
      <c r="I107" s="4">
        <v>61474.5</v>
      </c>
    </row>
    <row r="108" spans="1:9" s="3" customFormat="1">
      <c r="A108" s="6" t="s">
        <v>350</v>
      </c>
      <c r="B108" s="6" t="s">
        <v>351</v>
      </c>
      <c r="C108" s="6" t="s">
        <v>135</v>
      </c>
      <c r="D108" s="6" t="s">
        <v>343</v>
      </c>
      <c r="E108" s="7">
        <v>5000</v>
      </c>
      <c r="F108" s="7">
        <v>0</v>
      </c>
      <c r="G108" s="7">
        <v>700</v>
      </c>
      <c r="H108" s="8">
        <v>0</v>
      </c>
      <c r="I108" s="7">
        <v>5700</v>
      </c>
    </row>
    <row r="109" spans="1:9" s="3" customFormat="1">
      <c r="A109" s="6" t="s">
        <v>203</v>
      </c>
      <c r="B109" s="6" t="s">
        <v>204</v>
      </c>
      <c r="C109" s="6" t="s">
        <v>205</v>
      </c>
      <c r="D109" s="6" t="s">
        <v>195</v>
      </c>
      <c r="E109" s="7">
        <v>2100</v>
      </c>
      <c r="F109" s="7">
        <v>0</v>
      </c>
      <c r="G109" s="7">
        <v>294</v>
      </c>
      <c r="H109" s="7">
        <v>21</v>
      </c>
      <c r="I109" s="7">
        <v>2373</v>
      </c>
    </row>
    <row r="110" spans="1:9" s="3" customFormat="1">
      <c r="A110" s="6" t="s">
        <v>83</v>
      </c>
      <c r="B110" s="6" t="s">
        <v>84</v>
      </c>
      <c r="C110" s="6" t="s">
        <v>85</v>
      </c>
      <c r="D110" s="6" t="s">
        <v>62</v>
      </c>
      <c r="E110" s="7">
        <v>546998.6</v>
      </c>
      <c r="F110" s="7">
        <v>0</v>
      </c>
      <c r="G110" s="7">
        <v>76579.804000000004</v>
      </c>
      <c r="H110" s="7">
        <v>5469.9859999999999</v>
      </c>
      <c r="I110" s="7">
        <v>618108.41799999995</v>
      </c>
    </row>
    <row r="111" spans="1:9" s="3" customFormat="1">
      <c r="A111" s="6" t="s">
        <v>254</v>
      </c>
      <c r="B111" s="6" t="s">
        <v>255</v>
      </c>
      <c r="C111" s="6" t="s">
        <v>85</v>
      </c>
      <c r="D111" s="6" t="s">
        <v>237</v>
      </c>
      <c r="E111" s="7">
        <v>6900</v>
      </c>
      <c r="F111" s="7">
        <v>0</v>
      </c>
      <c r="G111" s="7">
        <v>966</v>
      </c>
      <c r="H111" s="7">
        <v>69</v>
      </c>
      <c r="I111" s="7">
        <v>7797</v>
      </c>
    </row>
    <row r="112" spans="1:9" s="3" customFormat="1">
      <c r="A112" s="3" t="s">
        <v>568</v>
      </c>
      <c r="B112" s="3" t="s">
        <v>569</v>
      </c>
      <c r="C112" s="3" t="s">
        <v>85</v>
      </c>
      <c r="D112" s="3" t="s">
        <v>558</v>
      </c>
      <c r="E112" s="4">
        <v>18179.75</v>
      </c>
      <c r="F112" s="4">
        <v>0</v>
      </c>
      <c r="G112" s="4">
        <v>2545.17</v>
      </c>
      <c r="H112" s="5">
        <v>0</v>
      </c>
      <c r="I112" s="4">
        <v>20724.919999999998</v>
      </c>
    </row>
    <row r="113" spans="1:9" s="3" customFormat="1">
      <c r="A113" s="3" t="s">
        <v>684</v>
      </c>
      <c r="B113" s="3" t="s">
        <v>685</v>
      </c>
      <c r="C113" s="3" t="s">
        <v>85</v>
      </c>
      <c r="D113" s="3" t="s">
        <v>638</v>
      </c>
      <c r="E113" s="4">
        <v>25270.51</v>
      </c>
      <c r="F113" s="4">
        <v>0</v>
      </c>
      <c r="G113" s="4">
        <v>3537.8714</v>
      </c>
      <c r="H113" s="5">
        <v>0</v>
      </c>
      <c r="I113" s="4">
        <v>28808.381399999998</v>
      </c>
    </row>
    <row r="114" spans="1:9" s="3" customFormat="1">
      <c r="A114" s="3" t="s">
        <v>778</v>
      </c>
      <c r="B114" s="3" t="s">
        <v>779</v>
      </c>
      <c r="C114" s="3" t="s">
        <v>780</v>
      </c>
      <c r="D114" s="3" t="s">
        <v>781</v>
      </c>
      <c r="E114" s="4">
        <v>17500</v>
      </c>
      <c r="F114" s="4">
        <v>0</v>
      </c>
      <c r="G114" s="4">
        <v>2450</v>
      </c>
      <c r="H114" s="5">
        <v>0</v>
      </c>
      <c r="I114" s="4">
        <v>19950</v>
      </c>
    </row>
    <row r="115" spans="1:9" s="3" customFormat="1">
      <c r="A115" s="3" t="s">
        <v>256</v>
      </c>
      <c r="B115" s="3" t="s">
        <v>257</v>
      </c>
      <c r="C115" s="3" t="s">
        <v>258</v>
      </c>
      <c r="D115" s="3" t="s">
        <v>237</v>
      </c>
      <c r="E115" s="4">
        <v>4335</v>
      </c>
      <c r="F115" s="4">
        <v>0</v>
      </c>
      <c r="G115" s="4">
        <v>606.9</v>
      </c>
      <c r="H115" s="4">
        <v>43.35</v>
      </c>
      <c r="I115" s="4">
        <v>4898.55</v>
      </c>
    </row>
    <row r="116" spans="1:9" s="3" customFormat="1">
      <c r="A116" s="6" t="s">
        <v>298</v>
      </c>
      <c r="B116" s="6" t="s">
        <v>299</v>
      </c>
      <c r="C116" s="6" t="s">
        <v>258</v>
      </c>
      <c r="D116" s="6" t="s">
        <v>293</v>
      </c>
      <c r="E116" s="7">
        <v>22275</v>
      </c>
      <c r="F116" s="7">
        <v>0</v>
      </c>
      <c r="G116" s="7">
        <v>3118.5</v>
      </c>
      <c r="H116" s="8">
        <v>0</v>
      </c>
      <c r="I116" s="7">
        <v>25393.5</v>
      </c>
    </row>
    <row r="117" spans="1:9" s="3" customFormat="1">
      <c r="A117" s="6" t="s">
        <v>530</v>
      </c>
      <c r="B117" s="6" t="s">
        <v>531</v>
      </c>
      <c r="C117" s="6" t="s">
        <v>532</v>
      </c>
      <c r="D117" s="6" t="s">
        <v>529</v>
      </c>
      <c r="E117" s="7">
        <v>269960</v>
      </c>
      <c r="F117" s="7">
        <v>0</v>
      </c>
      <c r="G117" s="7">
        <v>37794.400000000001</v>
      </c>
      <c r="H117" s="7">
        <v>2699.6</v>
      </c>
      <c r="I117" s="7">
        <v>305054.8</v>
      </c>
    </row>
    <row r="118" spans="1:9" s="3" customFormat="1">
      <c r="A118" s="6" t="s">
        <v>686</v>
      </c>
      <c r="B118" s="6" t="s">
        <v>629</v>
      </c>
      <c r="C118" s="6" t="s">
        <v>532</v>
      </c>
      <c r="D118" s="6" t="s">
        <v>638</v>
      </c>
      <c r="E118" s="7">
        <v>31156.42</v>
      </c>
      <c r="F118" s="7">
        <v>0</v>
      </c>
      <c r="G118" s="7">
        <v>4361.8987999999999</v>
      </c>
      <c r="H118" s="8">
        <v>0</v>
      </c>
      <c r="I118" s="7">
        <v>35518.318800000001</v>
      </c>
    </row>
    <row r="119" spans="1:9" s="3" customFormat="1">
      <c r="A119" s="3" t="s">
        <v>190</v>
      </c>
      <c r="B119" s="3" t="s">
        <v>191</v>
      </c>
      <c r="C119" s="3" t="s">
        <v>192</v>
      </c>
      <c r="D119" s="3" t="s">
        <v>158</v>
      </c>
      <c r="E119" s="4">
        <v>29725</v>
      </c>
      <c r="F119" s="4">
        <v>0</v>
      </c>
      <c r="G119" s="4">
        <v>4161.5</v>
      </c>
      <c r="H119" s="5">
        <v>0</v>
      </c>
      <c r="I119" s="4">
        <v>33886.5</v>
      </c>
    </row>
    <row r="120" spans="1:9" s="3" customFormat="1">
      <c r="A120" s="3" t="s">
        <v>765</v>
      </c>
      <c r="B120" s="3" t="s">
        <v>766</v>
      </c>
      <c r="C120" s="3" t="s">
        <v>192</v>
      </c>
      <c r="D120" s="3" t="s">
        <v>14</v>
      </c>
      <c r="E120" s="4">
        <v>18360</v>
      </c>
      <c r="F120" s="4">
        <v>0</v>
      </c>
      <c r="G120" s="4">
        <v>2570.4</v>
      </c>
      <c r="H120" s="5">
        <v>0</v>
      </c>
      <c r="I120" s="4">
        <v>20930.400000000001</v>
      </c>
    </row>
    <row r="121" spans="1:9" s="3" customFormat="1">
      <c r="A121" s="6" t="s">
        <v>460</v>
      </c>
      <c r="B121" s="6" t="s">
        <v>461</v>
      </c>
      <c r="C121" s="6" t="s">
        <v>462</v>
      </c>
      <c r="D121" s="6" t="s">
        <v>444</v>
      </c>
      <c r="E121" s="7">
        <v>19255</v>
      </c>
      <c r="F121" s="7">
        <v>0</v>
      </c>
      <c r="G121" s="7">
        <v>2695.7</v>
      </c>
      <c r="H121" s="7">
        <v>192.55</v>
      </c>
      <c r="I121" s="7">
        <v>21758.15</v>
      </c>
    </row>
    <row r="122" spans="1:9" s="3" customFormat="1">
      <c r="A122" s="3" t="s">
        <v>550</v>
      </c>
      <c r="B122" s="3" t="s">
        <v>551</v>
      </c>
      <c r="C122" s="3" t="s">
        <v>462</v>
      </c>
      <c r="D122" s="3" t="s">
        <v>552</v>
      </c>
      <c r="E122" s="4">
        <v>8362.16</v>
      </c>
      <c r="F122" s="4">
        <v>0</v>
      </c>
      <c r="G122" s="4">
        <v>1170.702</v>
      </c>
      <c r="H122" s="4">
        <v>0</v>
      </c>
      <c r="I122" s="4">
        <v>9532.8619999999992</v>
      </c>
    </row>
    <row r="123" spans="1:9" s="3" customFormat="1">
      <c r="A123" s="3" t="s">
        <v>352</v>
      </c>
      <c r="B123" s="3" t="s">
        <v>353</v>
      </c>
      <c r="C123" s="3" t="s">
        <v>354</v>
      </c>
      <c r="D123" s="3" t="s">
        <v>343</v>
      </c>
      <c r="E123" s="4">
        <v>33500</v>
      </c>
      <c r="F123" s="4">
        <v>0</v>
      </c>
      <c r="G123" s="4">
        <v>4690</v>
      </c>
      <c r="H123" s="5">
        <v>0</v>
      </c>
      <c r="I123" s="4">
        <v>38190</v>
      </c>
    </row>
    <row r="124" spans="1:9" s="3" customFormat="1">
      <c r="A124" s="3" t="s">
        <v>484</v>
      </c>
      <c r="B124" s="3" t="s">
        <v>485</v>
      </c>
      <c r="C124" s="3" t="s">
        <v>486</v>
      </c>
      <c r="D124" s="3" t="s">
        <v>487</v>
      </c>
      <c r="E124" s="4">
        <v>139051</v>
      </c>
      <c r="F124" s="4">
        <v>0</v>
      </c>
      <c r="G124" s="4">
        <v>19467.14</v>
      </c>
      <c r="H124" s="5">
        <v>0</v>
      </c>
      <c r="I124" s="4">
        <v>158518.14000000001</v>
      </c>
    </row>
    <row r="125" spans="1:9" s="3" customFormat="1">
      <c r="A125" s="6" t="s">
        <v>488</v>
      </c>
      <c r="B125" s="6" t="s">
        <v>489</v>
      </c>
      <c r="C125" s="6" t="s">
        <v>486</v>
      </c>
      <c r="D125" s="6" t="s">
        <v>487</v>
      </c>
      <c r="E125" s="7">
        <v>4640</v>
      </c>
      <c r="F125" s="7">
        <v>0</v>
      </c>
      <c r="G125" s="7">
        <v>649.6</v>
      </c>
      <c r="H125" s="8">
        <v>0</v>
      </c>
      <c r="I125" s="7">
        <v>5289.6</v>
      </c>
    </row>
    <row r="126" spans="1:9" s="3" customFormat="1">
      <c r="A126" s="3" t="s">
        <v>490</v>
      </c>
      <c r="B126" s="3" t="s">
        <v>491</v>
      </c>
      <c r="C126" s="3" t="s">
        <v>486</v>
      </c>
      <c r="D126" s="3" t="s">
        <v>487</v>
      </c>
      <c r="E126" s="4">
        <v>23475</v>
      </c>
      <c r="F126" s="4">
        <v>0</v>
      </c>
      <c r="G126" s="4">
        <v>3286.5</v>
      </c>
      <c r="H126" s="5">
        <v>0</v>
      </c>
      <c r="I126" s="4">
        <v>26761.5</v>
      </c>
    </row>
    <row r="127" spans="1:9" s="3" customFormat="1">
      <c r="A127" s="6" t="s">
        <v>601</v>
      </c>
      <c r="B127" s="6" t="s">
        <v>602</v>
      </c>
      <c r="C127" s="6" t="s">
        <v>486</v>
      </c>
      <c r="D127" s="6" t="s">
        <v>155</v>
      </c>
      <c r="E127" s="7">
        <v>17225</v>
      </c>
      <c r="F127" s="7">
        <v>0</v>
      </c>
      <c r="G127" s="7">
        <v>2411.5</v>
      </c>
      <c r="H127" s="7">
        <v>172.25</v>
      </c>
      <c r="I127" s="7">
        <v>19464.25</v>
      </c>
    </row>
    <row r="128" spans="1:9" s="3" customFormat="1">
      <c r="A128" s="3" t="s">
        <v>86</v>
      </c>
      <c r="B128" s="3" t="s">
        <v>87</v>
      </c>
      <c r="C128" s="3" t="s">
        <v>88</v>
      </c>
      <c r="D128" s="3" t="s">
        <v>62</v>
      </c>
      <c r="E128" s="4">
        <v>53500</v>
      </c>
      <c r="F128" s="4">
        <v>0</v>
      </c>
      <c r="G128" s="4">
        <v>7490</v>
      </c>
      <c r="H128" s="4">
        <v>535</v>
      </c>
      <c r="I128" s="4">
        <v>60455</v>
      </c>
    </row>
    <row r="129" spans="1:9" s="3" customFormat="1">
      <c r="A129" s="3" t="s">
        <v>687</v>
      </c>
      <c r="B129" s="3" t="s">
        <v>688</v>
      </c>
      <c r="C129" s="3" t="s">
        <v>88</v>
      </c>
      <c r="D129" s="3" t="s">
        <v>638</v>
      </c>
      <c r="E129" s="4">
        <v>28754.55</v>
      </c>
      <c r="F129" s="4">
        <v>0</v>
      </c>
      <c r="G129" s="4">
        <v>4025.6370000000002</v>
      </c>
      <c r="H129" s="5">
        <v>0</v>
      </c>
      <c r="I129" s="4">
        <v>32780.186999999998</v>
      </c>
    </row>
    <row r="130" spans="1:9" s="3" customFormat="1">
      <c r="A130" s="6" t="s">
        <v>689</v>
      </c>
      <c r="B130" s="6" t="s">
        <v>690</v>
      </c>
      <c r="C130" s="6" t="s">
        <v>88</v>
      </c>
      <c r="D130" s="6" t="s">
        <v>638</v>
      </c>
      <c r="E130" s="7">
        <v>44226</v>
      </c>
      <c r="F130" s="7">
        <v>0</v>
      </c>
      <c r="G130" s="7">
        <v>6191.64</v>
      </c>
      <c r="H130" s="8">
        <v>0</v>
      </c>
      <c r="I130" s="7">
        <v>50417.64</v>
      </c>
    </row>
    <row r="131" spans="1:9" s="3" customFormat="1">
      <c r="A131" s="3" t="s">
        <v>691</v>
      </c>
      <c r="B131" s="3" t="s">
        <v>692</v>
      </c>
      <c r="C131" s="3" t="s">
        <v>88</v>
      </c>
      <c r="D131" s="3" t="s">
        <v>638</v>
      </c>
      <c r="E131" s="4">
        <v>9144.08</v>
      </c>
      <c r="F131" s="4">
        <v>0</v>
      </c>
      <c r="G131" s="4">
        <v>528.58119999999997</v>
      </c>
      <c r="H131" s="5">
        <v>0</v>
      </c>
      <c r="I131" s="4">
        <v>9672.6612000000005</v>
      </c>
    </row>
    <row r="132" spans="1:9" s="3" customFormat="1">
      <c r="A132" s="6" t="s">
        <v>693</v>
      </c>
      <c r="B132" s="6" t="s">
        <v>694</v>
      </c>
      <c r="C132" s="6" t="s">
        <v>88</v>
      </c>
      <c r="D132" s="6" t="s">
        <v>638</v>
      </c>
      <c r="E132" s="7">
        <v>4914</v>
      </c>
      <c r="F132" s="7">
        <v>0</v>
      </c>
      <c r="G132" s="7">
        <v>687.96</v>
      </c>
      <c r="H132" s="8">
        <v>0</v>
      </c>
      <c r="I132" s="7">
        <v>5601.96</v>
      </c>
    </row>
    <row r="133" spans="1:9" s="3" customFormat="1">
      <c r="A133" s="3" t="s">
        <v>505</v>
      </c>
      <c r="B133" s="3" t="s">
        <v>506</v>
      </c>
      <c r="C133" s="3" t="s">
        <v>507</v>
      </c>
      <c r="D133" s="3" t="s">
        <v>237</v>
      </c>
      <c r="E133" s="4">
        <v>1660</v>
      </c>
      <c r="F133" s="4">
        <v>0</v>
      </c>
      <c r="G133" s="4">
        <v>232.4</v>
      </c>
      <c r="H133" s="4">
        <v>16.600000000000001</v>
      </c>
      <c r="I133" s="4">
        <v>1875.8</v>
      </c>
    </row>
    <row r="134" spans="1:9" s="3" customFormat="1">
      <c r="A134" s="6" t="s">
        <v>570</v>
      </c>
      <c r="B134" s="6" t="s">
        <v>571</v>
      </c>
      <c r="C134" s="6" t="s">
        <v>507</v>
      </c>
      <c r="D134" s="6" t="s">
        <v>558</v>
      </c>
      <c r="E134" s="7">
        <v>37544.519999999997</v>
      </c>
      <c r="F134" s="7">
        <v>0</v>
      </c>
      <c r="G134" s="7">
        <v>5256.24</v>
      </c>
      <c r="H134" s="8">
        <v>0</v>
      </c>
      <c r="I134" s="7">
        <v>42800.76</v>
      </c>
    </row>
    <row r="135" spans="1:9" s="3" customFormat="1">
      <c r="A135" s="3" t="s">
        <v>424</v>
      </c>
      <c r="B135" s="3" t="s">
        <v>425</v>
      </c>
      <c r="C135" s="3" t="s">
        <v>426</v>
      </c>
      <c r="D135" s="3" t="s">
        <v>421</v>
      </c>
      <c r="E135" s="4">
        <v>2331688.5869999998</v>
      </c>
      <c r="F135" s="4">
        <v>0</v>
      </c>
      <c r="G135" s="4">
        <v>326436.402</v>
      </c>
      <c r="H135" s="5">
        <v>0</v>
      </c>
      <c r="I135" s="4">
        <v>2658124.9879999999</v>
      </c>
    </row>
    <row r="136" spans="1:9" s="3" customFormat="1">
      <c r="A136" s="3" t="s">
        <v>463</v>
      </c>
      <c r="B136" s="3" t="s">
        <v>464</v>
      </c>
      <c r="C136" s="3" t="s">
        <v>426</v>
      </c>
      <c r="D136" s="3" t="s">
        <v>444</v>
      </c>
      <c r="E136" s="4">
        <v>18248</v>
      </c>
      <c r="F136" s="4">
        <v>0</v>
      </c>
      <c r="G136" s="4">
        <v>2554.7199999999998</v>
      </c>
      <c r="H136" s="4">
        <v>182.48</v>
      </c>
      <c r="I136" s="4">
        <v>20620.240000000002</v>
      </c>
    </row>
    <row r="137" spans="1:9" s="3" customFormat="1">
      <c r="A137" s="3" t="s">
        <v>438</v>
      </c>
      <c r="B137" s="3" t="s">
        <v>439</v>
      </c>
      <c r="C137" s="3" t="s">
        <v>440</v>
      </c>
      <c r="D137" s="3" t="s">
        <v>441</v>
      </c>
      <c r="E137" s="4">
        <v>8650</v>
      </c>
      <c r="F137" s="4">
        <v>0</v>
      </c>
      <c r="G137" s="4">
        <v>1211</v>
      </c>
      <c r="H137" s="5">
        <v>0</v>
      </c>
      <c r="I137" s="4">
        <v>9861</v>
      </c>
    </row>
    <row r="138" spans="1:9" s="3" customFormat="1">
      <c r="A138" s="3" t="s">
        <v>799</v>
      </c>
      <c r="B138" s="3" t="s">
        <v>800</v>
      </c>
      <c r="C138" s="3" t="s">
        <v>440</v>
      </c>
      <c r="D138" s="3" t="s">
        <v>794</v>
      </c>
      <c r="E138" s="4">
        <v>3560</v>
      </c>
      <c r="F138" s="4">
        <v>0</v>
      </c>
      <c r="G138" s="4">
        <v>498.4</v>
      </c>
      <c r="H138" s="4">
        <v>35.6</v>
      </c>
      <c r="I138" s="4">
        <v>4022.8</v>
      </c>
    </row>
    <row r="139" spans="1:9" s="3" customFormat="1">
      <c r="A139" s="3" t="s">
        <v>227</v>
      </c>
      <c r="B139" s="3" t="s">
        <v>228</v>
      </c>
      <c r="C139" s="3" t="s">
        <v>229</v>
      </c>
      <c r="D139" s="3" t="s">
        <v>230</v>
      </c>
      <c r="E139" s="4">
        <v>4500</v>
      </c>
      <c r="F139" s="4">
        <v>0</v>
      </c>
      <c r="G139" s="4">
        <v>630</v>
      </c>
      <c r="H139" s="5">
        <v>0</v>
      </c>
      <c r="I139" s="4">
        <v>5130</v>
      </c>
    </row>
    <row r="140" spans="1:9" s="3" customFormat="1">
      <c r="A140" s="6" t="s">
        <v>89</v>
      </c>
      <c r="B140" s="6" t="s">
        <v>90</v>
      </c>
      <c r="C140" s="6" t="s">
        <v>91</v>
      </c>
      <c r="D140" s="6" t="s">
        <v>62</v>
      </c>
      <c r="E140" s="7">
        <v>95128.6</v>
      </c>
      <c r="F140" s="7">
        <v>0</v>
      </c>
      <c r="G140" s="7">
        <v>13318.004000000001</v>
      </c>
      <c r="H140" s="7">
        <v>951.28599999999994</v>
      </c>
      <c r="I140" s="7">
        <v>107495.318</v>
      </c>
    </row>
    <row r="141" spans="1:9" s="3" customFormat="1">
      <c r="A141" s="3" t="s">
        <v>695</v>
      </c>
      <c r="B141" s="3" t="s">
        <v>696</v>
      </c>
      <c r="C141" s="3" t="s">
        <v>91</v>
      </c>
      <c r="D141" s="3" t="s">
        <v>638</v>
      </c>
      <c r="E141" s="4">
        <v>6879.55</v>
      </c>
      <c r="F141" s="4">
        <v>0</v>
      </c>
      <c r="G141" s="4">
        <v>963.13699999999994</v>
      </c>
      <c r="H141" s="5">
        <v>0</v>
      </c>
      <c r="I141" s="4">
        <v>7842.6869999999999</v>
      </c>
    </row>
    <row r="142" spans="1:9" s="3" customFormat="1">
      <c r="A142" s="6" t="s">
        <v>697</v>
      </c>
      <c r="B142" s="6" t="s">
        <v>698</v>
      </c>
      <c r="C142" s="6" t="s">
        <v>91</v>
      </c>
      <c r="D142" s="6" t="s">
        <v>638</v>
      </c>
      <c r="E142" s="7">
        <v>19866</v>
      </c>
      <c r="F142" s="7">
        <v>0</v>
      </c>
      <c r="G142" s="7">
        <v>2781.24</v>
      </c>
      <c r="H142" s="8">
        <v>0</v>
      </c>
      <c r="I142" s="7">
        <v>22647.24</v>
      </c>
    </row>
    <row r="143" spans="1:9" s="3" customFormat="1">
      <c r="A143" s="3" t="s">
        <v>699</v>
      </c>
      <c r="B143" s="3" t="s">
        <v>700</v>
      </c>
      <c r="C143" s="3" t="s">
        <v>91</v>
      </c>
      <c r="D143" s="3" t="s">
        <v>638</v>
      </c>
      <c r="E143" s="4">
        <v>5880</v>
      </c>
      <c r="F143" s="4">
        <v>0</v>
      </c>
      <c r="G143" s="4">
        <v>823.2</v>
      </c>
      <c r="H143" s="5">
        <v>0</v>
      </c>
      <c r="I143" s="4">
        <v>6703.2</v>
      </c>
    </row>
    <row r="144" spans="1:9" s="3" customFormat="1">
      <c r="A144" s="6" t="s">
        <v>701</v>
      </c>
      <c r="B144" s="6" t="s">
        <v>702</v>
      </c>
      <c r="C144" s="6" t="s">
        <v>703</v>
      </c>
      <c r="D144" s="6" t="s">
        <v>638</v>
      </c>
      <c r="E144" s="7">
        <v>5791.5</v>
      </c>
      <c r="F144" s="7">
        <v>0</v>
      </c>
      <c r="G144" s="7">
        <v>810.81</v>
      </c>
      <c r="H144" s="8">
        <v>0</v>
      </c>
      <c r="I144" s="7">
        <v>6602.31</v>
      </c>
    </row>
    <row r="145" spans="1:9" s="3" customFormat="1">
      <c r="A145" s="3" t="s">
        <v>382</v>
      </c>
      <c r="B145" s="3" t="s">
        <v>383</v>
      </c>
      <c r="C145" s="3" t="s">
        <v>384</v>
      </c>
      <c r="D145" s="3" t="s">
        <v>340</v>
      </c>
      <c r="E145" s="4">
        <v>248955.53</v>
      </c>
      <c r="F145" s="4">
        <v>0</v>
      </c>
      <c r="G145" s="4">
        <v>34853.7742</v>
      </c>
      <c r="H145" s="4">
        <v>2489.5553</v>
      </c>
      <c r="I145" s="4">
        <v>281319.74890000001</v>
      </c>
    </row>
    <row r="146" spans="1:9" s="3" customFormat="1">
      <c r="A146" s="3" t="s">
        <v>148</v>
      </c>
      <c r="B146" s="3" t="s">
        <v>149</v>
      </c>
      <c r="C146" s="3" t="s">
        <v>150</v>
      </c>
      <c r="D146" s="3" t="s">
        <v>151</v>
      </c>
      <c r="E146" s="4">
        <v>11578.96</v>
      </c>
      <c r="F146" s="4">
        <v>0</v>
      </c>
      <c r="G146" s="4">
        <v>1621.0544</v>
      </c>
      <c r="H146" s="5">
        <v>0</v>
      </c>
      <c r="I146" s="4">
        <v>13200.0144</v>
      </c>
    </row>
    <row r="147" spans="1:9" s="3" customFormat="1">
      <c r="A147" s="3" t="s">
        <v>92</v>
      </c>
      <c r="B147" s="3" t="s">
        <v>93</v>
      </c>
      <c r="C147" s="3" t="s">
        <v>94</v>
      </c>
      <c r="D147" s="3" t="s">
        <v>62</v>
      </c>
      <c r="E147" s="4">
        <v>90079.75</v>
      </c>
      <c r="F147" s="4">
        <v>0</v>
      </c>
      <c r="G147" s="4">
        <v>12611.165000000001</v>
      </c>
      <c r="H147" s="4">
        <v>900.79750000000001</v>
      </c>
      <c r="I147" s="4">
        <v>101790.11749999999</v>
      </c>
    </row>
    <row r="148" spans="1:9" s="3" customFormat="1">
      <c r="A148" s="3" t="s">
        <v>217</v>
      </c>
      <c r="B148" s="3" t="s">
        <v>218</v>
      </c>
      <c r="C148" s="3" t="s">
        <v>94</v>
      </c>
      <c r="D148" s="3" t="s">
        <v>195</v>
      </c>
      <c r="E148" s="4">
        <v>13080</v>
      </c>
      <c r="F148" s="4">
        <v>0</v>
      </c>
      <c r="G148" s="4">
        <v>1831.2</v>
      </c>
      <c r="H148" s="4">
        <v>130.80000000000001</v>
      </c>
      <c r="I148" s="4">
        <v>14780.4</v>
      </c>
    </row>
    <row r="149" spans="1:9" s="3" customFormat="1">
      <c r="A149" s="6" t="s">
        <v>427</v>
      </c>
      <c r="B149" s="6" t="s">
        <v>428</v>
      </c>
      <c r="C149" s="6" t="s">
        <v>94</v>
      </c>
      <c r="D149" s="6" t="s">
        <v>421</v>
      </c>
      <c r="E149" s="7">
        <v>323135.96500000003</v>
      </c>
      <c r="F149" s="7">
        <v>0</v>
      </c>
      <c r="G149" s="7">
        <v>45239.035000000003</v>
      </c>
      <c r="H149" s="8">
        <v>0</v>
      </c>
      <c r="I149" s="7">
        <v>368375</v>
      </c>
    </row>
    <row r="150" spans="1:9" s="3" customFormat="1">
      <c r="A150" s="6" t="s">
        <v>385</v>
      </c>
      <c r="B150" s="6" t="s">
        <v>386</v>
      </c>
      <c r="C150" s="6" t="s">
        <v>387</v>
      </c>
      <c r="D150" s="6" t="s">
        <v>340</v>
      </c>
      <c r="E150" s="7">
        <v>148500</v>
      </c>
      <c r="F150" s="7">
        <v>0</v>
      </c>
      <c r="G150" s="7">
        <v>20790</v>
      </c>
      <c r="H150" s="7">
        <v>1485</v>
      </c>
      <c r="I150" s="7">
        <v>167805</v>
      </c>
    </row>
    <row r="151" spans="1:9" s="3" customFormat="1">
      <c r="A151" s="6" t="s">
        <v>801</v>
      </c>
      <c r="B151" s="6" t="s">
        <v>802</v>
      </c>
      <c r="C151" s="6" t="s">
        <v>387</v>
      </c>
      <c r="D151" s="6" t="s">
        <v>794</v>
      </c>
      <c r="E151" s="7">
        <v>2100</v>
      </c>
      <c r="F151" s="7">
        <v>0</v>
      </c>
      <c r="G151" s="7">
        <v>294</v>
      </c>
      <c r="H151" s="7">
        <v>21</v>
      </c>
      <c r="I151" s="7">
        <v>2373</v>
      </c>
    </row>
    <row r="152" spans="1:9" s="3" customFormat="1">
      <c r="A152" s="3" t="s">
        <v>122</v>
      </c>
      <c r="B152" s="3" t="s">
        <v>123</v>
      </c>
      <c r="C152" s="3" t="s">
        <v>124</v>
      </c>
      <c r="D152" s="3" t="s">
        <v>125</v>
      </c>
      <c r="E152" s="4">
        <v>70500</v>
      </c>
      <c r="F152" s="4">
        <v>0</v>
      </c>
      <c r="G152" s="4">
        <v>9870</v>
      </c>
      <c r="H152" s="5">
        <v>0</v>
      </c>
      <c r="I152" s="4">
        <v>80370</v>
      </c>
    </row>
    <row r="153" spans="1:9" s="3" customFormat="1">
      <c r="A153" s="3" t="s">
        <v>388</v>
      </c>
      <c r="B153" s="3" t="s">
        <v>389</v>
      </c>
      <c r="C153" s="3" t="s">
        <v>124</v>
      </c>
      <c r="D153" s="3" t="s">
        <v>340</v>
      </c>
      <c r="E153" s="4">
        <v>33000</v>
      </c>
      <c r="F153" s="4">
        <v>0</v>
      </c>
      <c r="G153" s="4">
        <v>4620</v>
      </c>
      <c r="H153" s="4">
        <v>330</v>
      </c>
      <c r="I153" s="4">
        <v>37290</v>
      </c>
    </row>
    <row r="154" spans="1:9" s="3" customFormat="1">
      <c r="A154" s="3" t="s">
        <v>704</v>
      </c>
      <c r="B154" s="3" t="s">
        <v>593</v>
      </c>
      <c r="C154" s="3" t="s">
        <v>705</v>
      </c>
      <c r="D154" s="3" t="s">
        <v>638</v>
      </c>
      <c r="E154" s="4">
        <v>9992</v>
      </c>
      <c r="F154" s="4">
        <v>0</v>
      </c>
      <c r="G154" s="4">
        <v>1398.88</v>
      </c>
      <c r="H154" s="5">
        <v>0</v>
      </c>
      <c r="I154" s="4">
        <v>11390.88</v>
      </c>
    </row>
    <row r="155" spans="1:9" s="3" customFormat="1">
      <c r="A155" s="6" t="s">
        <v>706</v>
      </c>
      <c r="B155" s="6" t="s">
        <v>707</v>
      </c>
      <c r="C155" s="6" t="s">
        <v>705</v>
      </c>
      <c r="D155" s="6" t="s">
        <v>638</v>
      </c>
      <c r="E155" s="7">
        <v>1433</v>
      </c>
      <c r="F155" s="7">
        <v>0</v>
      </c>
      <c r="G155" s="7">
        <v>200.62</v>
      </c>
      <c r="H155" s="8">
        <v>0</v>
      </c>
      <c r="I155" s="7">
        <v>1633.62</v>
      </c>
    </row>
    <row r="156" spans="1:9" s="3" customFormat="1">
      <c r="A156" s="3" t="s">
        <v>572</v>
      </c>
      <c r="B156" s="3" t="s">
        <v>573</v>
      </c>
      <c r="C156" s="3" t="s">
        <v>574</v>
      </c>
      <c r="D156" s="3" t="s">
        <v>558</v>
      </c>
      <c r="E156" s="4">
        <v>40592.523999999998</v>
      </c>
      <c r="F156" s="4">
        <v>0</v>
      </c>
      <c r="G156" s="4">
        <v>5682.95</v>
      </c>
      <c r="H156" s="5">
        <v>0</v>
      </c>
      <c r="I156" s="4">
        <v>46275.474000000002</v>
      </c>
    </row>
    <row r="157" spans="1:9" s="3" customFormat="1">
      <c r="A157" s="6" t="s">
        <v>465</v>
      </c>
      <c r="B157" s="6" t="s">
        <v>466</v>
      </c>
      <c r="C157" s="6" t="s">
        <v>467</v>
      </c>
      <c r="D157" s="6" t="s">
        <v>444</v>
      </c>
      <c r="E157" s="7">
        <v>2060</v>
      </c>
      <c r="F157" s="7">
        <v>0</v>
      </c>
      <c r="G157" s="7">
        <v>288.39999999999998</v>
      </c>
      <c r="H157" s="7">
        <v>20.6</v>
      </c>
      <c r="I157" s="7">
        <v>2327.8000000000002</v>
      </c>
    </row>
    <row r="158" spans="1:9" s="3" customFormat="1">
      <c r="A158" s="3" t="s">
        <v>300</v>
      </c>
      <c r="B158" s="3" t="s">
        <v>301</v>
      </c>
      <c r="C158" s="3" t="s">
        <v>302</v>
      </c>
      <c r="D158" s="3" t="s">
        <v>293</v>
      </c>
      <c r="E158" s="4">
        <v>2750</v>
      </c>
      <c r="F158" s="4">
        <v>0</v>
      </c>
      <c r="G158" s="4">
        <v>385</v>
      </c>
      <c r="H158" s="5">
        <v>0</v>
      </c>
      <c r="I158" s="4">
        <v>3135</v>
      </c>
    </row>
    <row r="159" spans="1:9" s="3" customFormat="1">
      <c r="A159" s="3" t="s">
        <v>803</v>
      </c>
      <c r="B159" s="3" t="s">
        <v>804</v>
      </c>
      <c r="C159" s="3" t="s">
        <v>302</v>
      </c>
      <c r="D159" s="3" t="s">
        <v>794</v>
      </c>
      <c r="E159" s="4">
        <v>30545</v>
      </c>
      <c r="F159" s="4">
        <v>0</v>
      </c>
      <c r="G159" s="4">
        <v>4276.3</v>
      </c>
      <c r="H159" s="4">
        <v>305.45</v>
      </c>
      <c r="I159" s="4">
        <v>34515.85</v>
      </c>
    </row>
    <row r="160" spans="1:9" s="3" customFormat="1">
      <c r="A160" s="3" t="s">
        <v>822</v>
      </c>
      <c r="B160" s="3" t="s">
        <v>823</v>
      </c>
      <c r="C160" s="3" t="s">
        <v>302</v>
      </c>
      <c r="D160" s="3" t="s">
        <v>821</v>
      </c>
      <c r="E160" s="4">
        <v>17763.157500000001</v>
      </c>
      <c r="F160" s="4">
        <v>0</v>
      </c>
      <c r="G160" s="4">
        <v>2486.8420500000002</v>
      </c>
      <c r="H160" s="5">
        <v>0</v>
      </c>
      <c r="I160" s="4">
        <v>20249.99955</v>
      </c>
    </row>
    <row r="161" spans="1:9" s="3" customFormat="1">
      <c r="A161" s="6" t="s">
        <v>259</v>
      </c>
      <c r="B161" s="6" t="s">
        <v>260</v>
      </c>
      <c r="C161" s="6" t="s">
        <v>261</v>
      </c>
      <c r="D161" s="6" t="s">
        <v>237</v>
      </c>
      <c r="E161" s="7">
        <v>17100</v>
      </c>
      <c r="F161" s="7">
        <v>0</v>
      </c>
      <c r="G161" s="7">
        <v>2394</v>
      </c>
      <c r="H161" s="7">
        <v>171</v>
      </c>
      <c r="I161" s="7">
        <v>19323</v>
      </c>
    </row>
    <row r="162" spans="1:9" s="3" customFormat="1">
      <c r="A162" s="3" t="s">
        <v>262</v>
      </c>
      <c r="B162" s="3" t="s">
        <v>263</v>
      </c>
      <c r="C162" s="3" t="s">
        <v>261</v>
      </c>
      <c r="D162" s="3" t="s">
        <v>237</v>
      </c>
      <c r="E162" s="4">
        <v>12966</v>
      </c>
      <c r="F162" s="4">
        <v>0</v>
      </c>
      <c r="G162" s="4">
        <v>1815.24</v>
      </c>
      <c r="H162" s="4">
        <v>129.66</v>
      </c>
      <c r="I162" s="4">
        <v>14651.58</v>
      </c>
    </row>
    <row r="163" spans="1:9" s="3" customFormat="1">
      <c r="A163" s="6" t="s">
        <v>763</v>
      </c>
      <c r="B163" s="6" t="s">
        <v>764</v>
      </c>
      <c r="C163" s="6" t="s">
        <v>261</v>
      </c>
      <c r="D163" s="6" t="s">
        <v>14</v>
      </c>
      <c r="E163" s="7">
        <v>10960</v>
      </c>
      <c r="F163" s="7">
        <v>0</v>
      </c>
      <c r="G163" s="7">
        <v>1534.4</v>
      </c>
      <c r="H163" s="8">
        <v>0</v>
      </c>
      <c r="I163" s="7">
        <v>12494.4</v>
      </c>
    </row>
    <row r="164" spans="1:9" s="3" customFormat="1">
      <c r="A164" s="6" t="s">
        <v>355</v>
      </c>
      <c r="B164" s="6" t="s">
        <v>356</v>
      </c>
      <c r="C164" s="6" t="s">
        <v>357</v>
      </c>
      <c r="D164" s="6" t="s">
        <v>343</v>
      </c>
      <c r="E164" s="7">
        <v>117350</v>
      </c>
      <c r="F164" s="7">
        <v>0</v>
      </c>
      <c r="G164" s="7">
        <v>16429</v>
      </c>
      <c r="H164" s="8">
        <v>0</v>
      </c>
      <c r="I164" s="7">
        <v>133779</v>
      </c>
    </row>
    <row r="165" spans="1:9" s="3" customFormat="1">
      <c r="A165" s="6" t="s">
        <v>390</v>
      </c>
      <c r="B165" s="6" t="s">
        <v>391</v>
      </c>
      <c r="C165" s="6" t="s">
        <v>357</v>
      </c>
      <c r="D165" s="6" t="s">
        <v>340</v>
      </c>
      <c r="E165" s="7">
        <v>55016.5</v>
      </c>
      <c r="F165" s="7">
        <v>0</v>
      </c>
      <c r="G165" s="7">
        <v>7702.31</v>
      </c>
      <c r="H165" s="7">
        <v>550.16499999999996</v>
      </c>
      <c r="I165" s="7">
        <v>62168.644999999997</v>
      </c>
    </row>
    <row r="166" spans="1:9" s="3" customFormat="1">
      <c r="A166" s="3" t="s">
        <v>468</v>
      </c>
      <c r="B166" s="3" t="s">
        <v>469</v>
      </c>
      <c r="C166" s="3" t="s">
        <v>357</v>
      </c>
      <c r="D166" s="3" t="s">
        <v>444</v>
      </c>
      <c r="E166" s="4">
        <v>20550</v>
      </c>
      <c r="F166" s="4">
        <v>0</v>
      </c>
      <c r="G166" s="4">
        <v>2877</v>
      </c>
      <c r="H166" s="4">
        <v>205.5</v>
      </c>
      <c r="I166" s="4">
        <v>23221.5</v>
      </c>
    </row>
    <row r="167" spans="1:9" s="3" customFormat="1">
      <c r="A167" s="3" t="s">
        <v>546</v>
      </c>
      <c r="B167" s="3" t="s">
        <v>547</v>
      </c>
      <c r="C167" s="3" t="s">
        <v>357</v>
      </c>
      <c r="D167" s="3" t="s">
        <v>542</v>
      </c>
      <c r="E167" s="4">
        <v>11079.2</v>
      </c>
      <c r="F167" s="4">
        <v>0</v>
      </c>
      <c r="G167" s="4">
        <v>1551.088</v>
      </c>
      <c r="H167" s="4">
        <v>0</v>
      </c>
      <c r="I167" s="4">
        <v>12630.288</v>
      </c>
    </row>
    <row r="168" spans="1:9" s="3" customFormat="1">
      <c r="A168" s="6" t="s">
        <v>548</v>
      </c>
      <c r="B168" s="6" t="s">
        <v>549</v>
      </c>
      <c r="C168" s="6" t="s">
        <v>357</v>
      </c>
      <c r="D168" s="6" t="s">
        <v>542</v>
      </c>
      <c r="E168" s="7">
        <v>1054.58</v>
      </c>
      <c r="F168" s="7">
        <v>0</v>
      </c>
      <c r="G168" s="7">
        <v>147.64099999999999</v>
      </c>
      <c r="H168" s="7">
        <v>0</v>
      </c>
      <c r="I168" s="7">
        <v>1202.221</v>
      </c>
    </row>
    <row r="169" spans="1:9" s="3" customFormat="1">
      <c r="A169" s="3" t="s">
        <v>708</v>
      </c>
      <c r="B169" s="3" t="s">
        <v>709</v>
      </c>
      <c r="C169" s="3" t="s">
        <v>357</v>
      </c>
      <c r="D169" s="3" t="s">
        <v>638</v>
      </c>
      <c r="E169" s="4">
        <v>26112.06</v>
      </c>
      <c r="F169" s="4">
        <v>0</v>
      </c>
      <c r="G169" s="4">
        <v>3655.6884</v>
      </c>
      <c r="H169" s="5">
        <v>0</v>
      </c>
      <c r="I169" s="4">
        <v>29767.7484</v>
      </c>
    </row>
    <row r="170" spans="1:9" s="3" customFormat="1">
      <c r="A170" s="6" t="s">
        <v>710</v>
      </c>
      <c r="B170" s="6" t="s">
        <v>711</v>
      </c>
      <c r="C170" s="6" t="s">
        <v>357</v>
      </c>
      <c r="D170" s="6" t="s">
        <v>638</v>
      </c>
      <c r="E170" s="7">
        <v>52650</v>
      </c>
      <c r="F170" s="7">
        <v>0</v>
      </c>
      <c r="G170" s="7">
        <v>7371</v>
      </c>
      <c r="H170" s="8">
        <v>0</v>
      </c>
      <c r="I170" s="7">
        <v>60021</v>
      </c>
    </row>
    <row r="171" spans="1:9" s="3" customFormat="1">
      <c r="A171" s="3" t="s">
        <v>712</v>
      </c>
      <c r="B171" s="3" t="s">
        <v>713</v>
      </c>
      <c r="C171" s="3" t="s">
        <v>357</v>
      </c>
      <c r="D171" s="3" t="s">
        <v>638</v>
      </c>
      <c r="E171" s="4">
        <v>3050</v>
      </c>
      <c r="F171" s="4">
        <v>0</v>
      </c>
      <c r="G171" s="4">
        <v>427</v>
      </c>
      <c r="H171" s="5">
        <v>0</v>
      </c>
      <c r="I171" s="4">
        <v>3477</v>
      </c>
    </row>
    <row r="172" spans="1:9" s="3" customFormat="1">
      <c r="A172" s="6" t="s">
        <v>95</v>
      </c>
      <c r="B172" s="6" t="s">
        <v>96</v>
      </c>
      <c r="C172" s="6" t="s">
        <v>97</v>
      </c>
      <c r="D172" s="6" t="s">
        <v>62</v>
      </c>
      <c r="E172" s="7">
        <v>401475</v>
      </c>
      <c r="F172" s="7">
        <v>0</v>
      </c>
      <c r="G172" s="7">
        <v>56206.5</v>
      </c>
      <c r="H172" s="7">
        <v>1347.55</v>
      </c>
      <c r="I172" s="7">
        <v>456333.95</v>
      </c>
    </row>
    <row r="173" spans="1:9" s="3" customFormat="1">
      <c r="A173" s="3" t="s">
        <v>817</v>
      </c>
      <c r="B173" s="3" t="s">
        <v>818</v>
      </c>
      <c r="C173" s="3" t="s">
        <v>97</v>
      </c>
      <c r="D173" s="3" t="s">
        <v>819</v>
      </c>
      <c r="E173" s="4">
        <v>7800</v>
      </c>
      <c r="F173" s="4">
        <v>0</v>
      </c>
      <c r="G173" s="4">
        <v>1092</v>
      </c>
      <c r="H173" s="5">
        <v>0</v>
      </c>
      <c r="I173" s="4">
        <v>8892</v>
      </c>
    </row>
    <row r="174" spans="1:9" s="3" customFormat="1">
      <c r="A174" s="6" t="s">
        <v>805</v>
      </c>
      <c r="B174" s="6" t="s">
        <v>806</v>
      </c>
      <c r="C174" s="6" t="s">
        <v>807</v>
      </c>
      <c r="D174" s="6" t="s">
        <v>794</v>
      </c>
      <c r="E174" s="7">
        <v>450</v>
      </c>
      <c r="F174" s="7">
        <v>0</v>
      </c>
      <c r="G174" s="7">
        <v>63</v>
      </c>
      <c r="H174" s="7">
        <v>4.5</v>
      </c>
      <c r="I174" s="7">
        <v>508.5</v>
      </c>
    </row>
    <row r="175" spans="1:9" s="3" customFormat="1">
      <c r="A175" s="3" t="s">
        <v>808</v>
      </c>
      <c r="B175" s="3" t="s">
        <v>809</v>
      </c>
      <c r="C175" s="3" t="s">
        <v>807</v>
      </c>
      <c r="D175" s="3" t="s">
        <v>794</v>
      </c>
      <c r="E175" s="4">
        <v>950</v>
      </c>
      <c r="F175" s="4">
        <v>0</v>
      </c>
      <c r="G175" s="4">
        <v>133</v>
      </c>
      <c r="H175" s="4">
        <v>9.5</v>
      </c>
      <c r="I175" s="4">
        <v>1073.5</v>
      </c>
    </row>
    <row r="176" spans="1:9" s="3" customFormat="1">
      <c r="A176" s="6" t="s">
        <v>575</v>
      </c>
      <c r="B176" s="6" t="s">
        <v>576</v>
      </c>
      <c r="C176" s="6" t="s">
        <v>577</v>
      </c>
      <c r="D176" s="6" t="s">
        <v>558</v>
      </c>
      <c r="E176" s="7">
        <v>120128.5</v>
      </c>
      <c r="F176" s="7">
        <v>0</v>
      </c>
      <c r="G176" s="7">
        <v>16817.990000000002</v>
      </c>
      <c r="H176" s="8">
        <v>0</v>
      </c>
      <c r="I176" s="7">
        <v>136946.49</v>
      </c>
    </row>
    <row r="177" spans="1:9" s="3" customFormat="1">
      <c r="A177" s="6" t="s">
        <v>714</v>
      </c>
      <c r="B177" s="6" t="s">
        <v>715</v>
      </c>
      <c r="C177" s="6" t="s">
        <v>577</v>
      </c>
      <c r="D177" s="6" t="s">
        <v>638</v>
      </c>
      <c r="E177" s="7">
        <v>25213.5</v>
      </c>
      <c r="F177" s="7">
        <v>0</v>
      </c>
      <c r="G177" s="7">
        <v>3529.89</v>
      </c>
      <c r="H177" s="8">
        <v>0</v>
      </c>
      <c r="I177" s="7">
        <v>28743.39</v>
      </c>
    </row>
    <row r="178" spans="1:9" s="3" customFormat="1">
      <c r="A178" s="3" t="s">
        <v>98</v>
      </c>
      <c r="B178" s="3" t="s">
        <v>99</v>
      </c>
      <c r="C178" s="3" t="s">
        <v>100</v>
      </c>
      <c r="D178" s="3" t="s">
        <v>62</v>
      </c>
      <c r="E178" s="4">
        <v>46525.599999999999</v>
      </c>
      <c r="F178" s="4">
        <v>0</v>
      </c>
      <c r="G178" s="4">
        <v>6513.5839999999998</v>
      </c>
      <c r="H178" s="4">
        <v>465.25599999999997</v>
      </c>
      <c r="I178" s="4">
        <v>52573.928</v>
      </c>
    </row>
    <row r="179" spans="1:9" s="3" customFormat="1">
      <c r="A179" s="6" t="s">
        <v>231</v>
      </c>
      <c r="B179" s="6" t="s">
        <v>232</v>
      </c>
      <c r="C179" s="6" t="s">
        <v>233</v>
      </c>
      <c r="D179" s="6" t="s">
        <v>234</v>
      </c>
      <c r="E179" s="7">
        <v>20877.5</v>
      </c>
      <c r="F179" s="7">
        <v>0</v>
      </c>
      <c r="G179" s="7">
        <v>2922.85</v>
      </c>
      <c r="H179" s="8">
        <v>0</v>
      </c>
      <c r="I179" s="7">
        <v>23800.35</v>
      </c>
    </row>
    <row r="180" spans="1:9" s="3" customFormat="1">
      <c r="A180" s="3" t="s">
        <v>578</v>
      </c>
      <c r="B180" s="3" t="s">
        <v>579</v>
      </c>
      <c r="C180" s="3" t="s">
        <v>233</v>
      </c>
      <c r="D180" s="3" t="s">
        <v>558</v>
      </c>
      <c r="E180" s="4">
        <v>20969.454000000002</v>
      </c>
      <c r="F180" s="4">
        <v>0</v>
      </c>
      <c r="G180" s="4">
        <v>2935.72</v>
      </c>
      <c r="H180" s="5">
        <v>0</v>
      </c>
      <c r="I180" s="4">
        <v>23905.173999999999</v>
      </c>
    </row>
    <row r="181" spans="1:9" s="3" customFormat="1">
      <c r="A181" s="3" t="s">
        <v>716</v>
      </c>
      <c r="B181" s="3" t="s">
        <v>717</v>
      </c>
      <c r="C181" s="3" t="s">
        <v>233</v>
      </c>
      <c r="D181" s="3" t="s">
        <v>638</v>
      </c>
      <c r="E181" s="4">
        <v>13620.5</v>
      </c>
      <c r="F181" s="4">
        <v>0</v>
      </c>
      <c r="G181" s="4">
        <v>1906.87</v>
      </c>
      <c r="H181" s="5">
        <v>0</v>
      </c>
      <c r="I181" s="4">
        <v>15527.37</v>
      </c>
    </row>
    <row r="182" spans="1:9" s="3" customFormat="1">
      <c r="A182" s="3" t="s">
        <v>511</v>
      </c>
      <c r="B182" s="3" t="s">
        <v>512</v>
      </c>
      <c r="C182" s="3" t="s">
        <v>513</v>
      </c>
      <c r="D182" s="3" t="s">
        <v>510</v>
      </c>
      <c r="E182" s="4">
        <v>70980</v>
      </c>
      <c r="F182" s="4">
        <v>0</v>
      </c>
      <c r="G182" s="5">
        <v>0</v>
      </c>
      <c r="H182" s="4">
        <v>709.8</v>
      </c>
      <c r="I182" s="4">
        <v>70270.2</v>
      </c>
    </row>
    <row r="183" spans="1:9" s="3" customFormat="1">
      <c r="A183" s="3" t="s">
        <v>533</v>
      </c>
      <c r="B183" s="3" t="s">
        <v>534</v>
      </c>
      <c r="C183" s="3" t="s">
        <v>513</v>
      </c>
      <c r="D183" s="3" t="s">
        <v>529</v>
      </c>
      <c r="E183" s="4">
        <v>652172</v>
      </c>
      <c r="F183" s="4">
        <v>0</v>
      </c>
      <c r="G183" s="4">
        <v>91304.08</v>
      </c>
      <c r="H183" s="4">
        <v>6521.72</v>
      </c>
      <c r="I183" s="4">
        <v>736954.36</v>
      </c>
    </row>
    <row r="184" spans="1:9" s="3" customFormat="1">
      <c r="A184" s="6" t="s">
        <v>303</v>
      </c>
      <c r="B184" s="6" t="s">
        <v>304</v>
      </c>
      <c r="C184" s="6" t="s">
        <v>305</v>
      </c>
      <c r="D184" s="6" t="s">
        <v>293</v>
      </c>
      <c r="E184" s="7">
        <v>2268.8000000000002</v>
      </c>
      <c r="F184" s="7">
        <v>0</v>
      </c>
      <c r="G184" s="7">
        <v>317.63200000000001</v>
      </c>
      <c r="H184" s="8">
        <v>0</v>
      </c>
      <c r="I184" s="7">
        <v>2586.4319999999998</v>
      </c>
    </row>
    <row r="185" spans="1:9" s="3" customFormat="1">
      <c r="A185" s="3" t="s">
        <v>392</v>
      </c>
      <c r="B185" s="3" t="s">
        <v>393</v>
      </c>
      <c r="C185" s="3" t="s">
        <v>394</v>
      </c>
      <c r="D185" s="3" t="s">
        <v>340</v>
      </c>
      <c r="E185" s="4">
        <v>307999.28999999998</v>
      </c>
      <c r="F185" s="4">
        <v>0</v>
      </c>
      <c r="G185" s="4">
        <v>43119.900600000001</v>
      </c>
      <c r="H185" s="4">
        <v>3079.9929000000002</v>
      </c>
      <c r="I185" s="4">
        <v>348039.19770000002</v>
      </c>
    </row>
    <row r="186" spans="1:9" s="3" customFormat="1">
      <c r="A186" s="6" t="s">
        <v>101</v>
      </c>
      <c r="B186" s="6" t="s">
        <v>102</v>
      </c>
      <c r="C186" s="6" t="s">
        <v>103</v>
      </c>
      <c r="D186" s="6" t="s">
        <v>62</v>
      </c>
      <c r="E186" s="7">
        <v>71710</v>
      </c>
      <c r="F186" s="7">
        <v>0</v>
      </c>
      <c r="G186" s="7">
        <v>10039.4</v>
      </c>
      <c r="H186" s="7">
        <v>717.1</v>
      </c>
      <c r="I186" s="7">
        <v>81032.3</v>
      </c>
    </row>
    <row r="187" spans="1:9" s="3" customFormat="1">
      <c r="A187" s="3" t="s">
        <v>429</v>
      </c>
      <c r="B187" s="3" t="s">
        <v>430</v>
      </c>
      <c r="C187" s="3" t="s">
        <v>103</v>
      </c>
      <c r="D187" s="3" t="s">
        <v>421</v>
      </c>
      <c r="E187" s="4">
        <v>1273061.4029999999</v>
      </c>
      <c r="F187" s="4">
        <v>0</v>
      </c>
      <c r="G187" s="4">
        <v>178228.59599999999</v>
      </c>
      <c r="H187" s="5">
        <v>0</v>
      </c>
      <c r="I187" s="4">
        <v>1451290</v>
      </c>
    </row>
    <row r="188" spans="1:9" s="3" customFormat="1">
      <c r="A188" s="6" t="s">
        <v>431</v>
      </c>
      <c r="B188" s="6" t="s">
        <v>432</v>
      </c>
      <c r="C188" s="6" t="s">
        <v>103</v>
      </c>
      <c r="D188" s="6" t="s">
        <v>421</v>
      </c>
      <c r="E188" s="7">
        <v>913894.73199999996</v>
      </c>
      <c r="F188" s="7">
        <v>0</v>
      </c>
      <c r="G188" s="7">
        <v>127945.262</v>
      </c>
      <c r="H188" s="8">
        <v>0</v>
      </c>
      <c r="I188" s="7">
        <v>1041839.9939999999</v>
      </c>
    </row>
    <row r="189" spans="1:9" s="3" customFormat="1">
      <c r="A189" s="3" t="s">
        <v>594</v>
      </c>
      <c r="B189" s="3" t="s">
        <v>595</v>
      </c>
      <c r="C189" s="3" t="s">
        <v>103</v>
      </c>
      <c r="D189" s="3" t="s">
        <v>155</v>
      </c>
      <c r="E189" s="4">
        <v>3900</v>
      </c>
      <c r="F189" s="4">
        <v>0</v>
      </c>
      <c r="G189" s="4">
        <v>546</v>
      </c>
      <c r="H189" s="4">
        <v>39</v>
      </c>
      <c r="I189" s="4">
        <v>4407</v>
      </c>
    </row>
    <row r="190" spans="1:9" s="3" customFormat="1">
      <c r="A190" s="3" t="s">
        <v>178</v>
      </c>
      <c r="B190" s="3" t="s">
        <v>179</v>
      </c>
      <c r="C190" s="3" t="s">
        <v>180</v>
      </c>
      <c r="D190" s="3" t="s">
        <v>158</v>
      </c>
      <c r="E190" s="4">
        <v>14500</v>
      </c>
      <c r="F190" s="4">
        <v>0</v>
      </c>
      <c r="G190" s="4">
        <v>2030</v>
      </c>
      <c r="H190" s="5">
        <v>0</v>
      </c>
      <c r="I190" s="4">
        <v>16530</v>
      </c>
    </row>
    <row r="191" spans="1:9" s="3" customFormat="1">
      <c r="A191" s="3" t="s">
        <v>206</v>
      </c>
      <c r="B191" s="3" t="s">
        <v>207</v>
      </c>
      <c r="C191" s="3" t="s">
        <v>180</v>
      </c>
      <c r="D191" s="3" t="s">
        <v>195</v>
      </c>
      <c r="E191" s="4">
        <v>3415</v>
      </c>
      <c r="F191" s="4">
        <v>0</v>
      </c>
      <c r="G191" s="4">
        <v>478.1</v>
      </c>
      <c r="H191" s="4">
        <v>34.15</v>
      </c>
      <c r="I191" s="4">
        <v>3858.95</v>
      </c>
    </row>
    <row r="192" spans="1:9" s="3" customFormat="1">
      <c r="A192" s="6" t="s">
        <v>264</v>
      </c>
      <c r="B192" s="6" t="s">
        <v>265</v>
      </c>
      <c r="C192" s="6" t="s">
        <v>180</v>
      </c>
      <c r="D192" s="6" t="s">
        <v>237</v>
      </c>
      <c r="E192" s="7">
        <v>5681.25</v>
      </c>
      <c r="F192" s="7">
        <v>0</v>
      </c>
      <c r="G192" s="7">
        <v>795.375</v>
      </c>
      <c r="H192" s="7">
        <v>56.8125</v>
      </c>
      <c r="I192" s="7">
        <v>6419.8125</v>
      </c>
    </row>
    <row r="193" spans="1:9" s="3" customFormat="1">
      <c r="A193" s="6" t="s">
        <v>470</v>
      </c>
      <c r="B193" s="6" t="s">
        <v>471</v>
      </c>
      <c r="C193" s="6" t="s">
        <v>180</v>
      </c>
      <c r="D193" s="6" t="s">
        <v>444</v>
      </c>
      <c r="E193" s="7">
        <v>12325</v>
      </c>
      <c r="F193" s="7">
        <v>0</v>
      </c>
      <c r="G193" s="7">
        <v>1725.5</v>
      </c>
      <c r="H193" s="7">
        <v>123.25</v>
      </c>
      <c r="I193" s="7">
        <v>13927.25</v>
      </c>
    </row>
    <row r="194" spans="1:9" s="3" customFormat="1">
      <c r="A194" s="3" t="s">
        <v>143</v>
      </c>
      <c r="B194" s="3" t="s">
        <v>144</v>
      </c>
      <c r="C194" s="3" t="s">
        <v>145</v>
      </c>
      <c r="D194" s="3" t="s">
        <v>142</v>
      </c>
      <c r="E194" s="4">
        <v>47417</v>
      </c>
      <c r="F194" s="4">
        <v>0</v>
      </c>
      <c r="G194" s="4">
        <v>6638.38</v>
      </c>
      <c r="H194" s="5">
        <v>0</v>
      </c>
      <c r="I194" s="4">
        <v>54055.38</v>
      </c>
    </row>
    <row r="195" spans="1:9" s="3" customFormat="1">
      <c r="A195" s="6" t="s">
        <v>332</v>
      </c>
      <c r="B195" s="6" t="s">
        <v>333</v>
      </c>
      <c r="C195" s="6" t="s">
        <v>145</v>
      </c>
      <c r="D195" s="6" t="s">
        <v>317</v>
      </c>
      <c r="E195" s="7">
        <v>95650</v>
      </c>
      <c r="F195" s="7">
        <v>0</v>
      </c>
      <c r="G195" s="7">
        <v>13391</v>
      </c>
      <c r="H195" s="8">
        <v>0</v>
      </c>
      <c r="I195" s="7">
        <v>109041</v>
      </c>
    </row>
    <row r="196" spans="1:9" s="3" customFormat="1">
      <c r="A196" s="3" t="s">
        <v>334</v>
      </c>
      <c r="B196" s="3" t="s">
        <v>335</v>
      </c>
      <c r="C196" s="3" t="s">
        <v>145</v>
      </c>
      <c r="D196" s="3" t="s">
        <v>317</v>
      </c>
      <c r="E196" s="4">
        <v>87650</v>
      </c>
      <c r="F196" s="4">
        <v>0</v>
      </c>
      <c r="G196" s="4">
        <v>12271</v>
      </c>
      <c r="H196" s="5">
        <v>0</v>
      </c>
      <c r="I196" s="4">
        <v>99921</v>
      </c>
    </row>
    <row r="197" spans="1:9" s="3" customFormat="1">
      <c r="A197" s="6" t="s">
        <v>395</v>
      </c>
      <c r="B197" s="6" t="s">
        <v>396</v>
      </c>
      <c r="C197" s="6" t="s">
        <v>145</v>
      </c>
      <c r="D197" s="6" t="s">
        <v>340</v>
      </c>
      <c r="E197" s="7">
        <v>54999.875</v>
      </c>
      <c r="F197" s="7">
        <v>0</v>
      </c>
      <c r="G197" s="7">
        <v>7699.9825000000001</v>
      </c>
      <c r="H197" s="7">
        <v>549.99874999999997</v>
      </c>
      <c r="I197" s="7">
        <v>62149.858749999999</v>
      </c>
    </row>
    <row r="198" spans="1:9" s="3" customFormat="1">
      <c r="A198" s="3" t="s">
        <v>633</v>
      </c>
      <c r="B198" s="3" t="s">
        <v>634</v>
      </c>
      <c r="C198" s="3" t="s">
        <v>145</v>
      </c>
      <c r="D198" s="3" t="s">
        <v>635</v>
      </c>
      <c r="E198" s="4">
        <v>14000</v>
      </c>
      <c r="F198" s="4">
        <v>0</v>
      </c>
      <c r="G198" s="4">
        <v>1960</v>
      </c>
      <c r="H198" s="4">
        <v>210</v>
      </c>
      <c r="I198" s="4">
        <v>15750</v>
      </c>
    </row>
    <row r="199" spans="1:9" s="3" customFormat="1">
      <c r="A199" s="6" t="s">
        <v>718</v>
      </c>
      <c r="B199" s="6" t="s">
        <v>719</v>
      </c>
      <c r="C199" s="6" t="s">
        <v>145</v>
      </c>
      <c r="D199" s="6" t="s">
        <v>638</v>
      </c>
      <c r="E199" s="7">
        <v>5195</v>
      </c>
      <c r="F199" s="7">
        <v>0</v>
      </c>
      <c r="G199" s="7">
        <v>727.3</v>
      </c>
      <c r="H199" s="8">
        <v>0</v>
      </c>
      <c r="I199" s="7">
        <v>5922.3</v>
      </c>
    </row>
    <row r="200" spans="1:9" s="3" customFormat="1">
      <c r="A200" s="3" t="s">
        <v>785</v>
      </c>
      <c r="B200" s="3" t="s">
        <v>786</v>
      </c>
      <c r="C200" s="3" t="s">
        <v>145</v>
      </c>
      <c r="D200" s="3" t="s">
        <v>787</v>
      </c>
      <c r="E200" s="4">
        <v>31500</v>
      </c>
      <c r="F200" s="4">
        <v>0</v>
      </c>
      <c r="G200" s="4">
        <v>4410</v>
      </c>
      <c r="H200" s="4">
        <v>315</v>
      </c>
      <c r="I200" s="4">
        <v>35595</v>
      </c>
    </row>
    <row r="201" spans="1:9" s="3" customFormat="1">
      <c r="A201" s="6" t="s">
        <v>788</v>
      </c>
      <c r="B201" s="6" t="s">
        <v>789</v>
      </c>
      <c r="C201" s="6" t="s">
        <v>145</v>
      </c>
      <c r="D201" s="6" t="s">
        <v>787</v>
      </c>
      <c r="E201" s="7">
        <v>21820</v>
      </c>
      <c r="F201" s="7">
        <v>0</v>
      </c>
      <c r="G201" s="7">
        <v>3054.8</v>
      </c>
      <c r="H201" s="7">
        <v>218.2</v>
      </c>
      <c r="I201" s="7">
        <v>24656.6</v>
      </c>
    </row>
    <row r="202" spans="1:9" s="3" customFormat="1">
      <c r="A202" s="3" t="s">
        <v>433</v>
      </c>
      <c r="B202" s="3" t="s">
        <v>434</v>
      </c>
      <c r="C202" s="3" t="s">
        <v>435</v>
      </c>
      <c r="D202" s="3" t="s">
        <v>421</v>
      </c>
      <c r="E202" s="4">
        <v>2413741.2239999999</v>
      </c>
      <c r="F202" s="4">
        <v>0</v>
      </c>
      <c r="G202" s="4">
        <v>337923.77100000001</v>
      </c>
      <c r="H202" s="5">
        <v>0</v>
      </c>
      <c r="I202" s="4">
        <v>2751664.9950000001</v>
      </c>
    </row>
    <row r="203" spans="1:9" s="3" customFormat="1">
      <c r="A203" s="3" t="s">
        <v>720</v>
      </c>
      <c r="B203" s="3" t="s">
        <v>721</v>
      </c>
      <c r="C203" s="3" t="s">
        <v>435</v>
      </c>
      <c r="D203" s="3" t="s">
        <v>638</v>
      </c>
      <c r="E203" s="4">
        <v>5017.95</v>
      </c>
      <c r="F203" s="4">
        <v>0</v>
      </c>
      <c r="G203" s="4">
        <v>702.51300000000003</v>
      </c>
      <c r="H203" s="5">
        <v>0</v>
      </c>
      <c r="I203" s="4">
        <v>5720.4629999999997</v>
      </c>
    </row>
    <row r="204" spans="1:9" s="3" customFormat="1">
      <c r="A204" s="6" t="s">
        <v>751</v>
      </c>
      <c r="B204" s="6" t="s">
        <v>752</v>
      </c>
      <c r="C204" s="6" t="s">
        <v>435</v>
      </c>
      <c r="D204" s="6" t="s">
        <v>638</v>
      </c>
      <c r="E204" s="7">
        <v>9399</v>
      </c>
      <c r="F204" s="7">
        <v>0</v>
      </c>
      <c r="G204" s="7">
        <v>1315.86</v>
      </c>
      <c r="H204" s="8">
        <v>0</v>
      </c>
      <c r="I204" s="7">
        <v>10714.86</v>
      </c>
    </row>
    <row r="205" spans="1:9" s="3" customFormat="1">
      <c r="A205" s="6" t="s">
        <v>580</v>
      </c>
      <c r="B205" s="6" t="s">
        <v>581</v>
      </c>
      <c r="C205" s="6" t="s">
        <v>582</v>
      </c>
      <c r="D205" s="6" t="s">
        <v>558</v>
      </c>
      <c r="E205" s="7">
        <v>4390.5627999999997</v>
      </c>
      <c r="F205" s="7">
        <v>0</v>
      </c>
      <c r="G205" s="7">
        <v>614.67999999999995</v>
      </c>
      <c r="H205" s="8">
        <v>0</v>
      </c>
      <c r="I205" s="7">
        <v>5005.2428</v>
      </c>
    </row>
    <row r="206" spans="1:9" s="3" customFormat="1">
      <c r="A206" s="6" t="s">
        <v>181</v>
      </c>
      <c r="B206" s="6" t="s">
        <v>182</v>
      </c>
      <c r="C206" s="6" t="s">
        <v>183</v>
      </c>
      <c r="D206" s="6" t="s">
        <v>158</v>
      </c>
      <c r="E206" s="7">
        <v>18000</v>
      </c>
      <c r="F206" s="7">
        <v>0</v>
      </c>
      <c r="G206" s="7">
        <v>2520</v>
      </c>
      <c r="H206" s="8">
        <v>0</v>
      </c>
      <c r="I206" s="7">
        <v>20520</v>
      </c>
    </row>
    <row r="207" spans="1:9" s="3" customFormat="1">
      <c r="A207" s="3" t="s">
        <v>266</v>
      </c>
      <c r="B207" s="3" t="s">
        <v>267</v>
      </c>
      <c r="C207" s="3" t="s">
        <v>183</v>
      </c>
      <c r="D207" s="3" t="s">
        <v>237</v>
      </c>
      <c r="E207" s="4">
        <v>19700</v>
      </c>
      <c r="F207" s="4">
        <v>0</v>
      </c>
      <c r="G207" s="4">
        <v>2758</v>
      </c>
      <c r="H207" s="4">
        <v>197</v>
      </c>
      <c r="I207" s="4">
        <v>22261</v>
      </c>
    </row>
    <row r="208" spans="1:9" s="3" customFormat="1">
      <c r="A208" s="6" t="s">
        <v>523</v>
      </c>
      <c r="B208" s="6" t="s">
        <v>524</v>
      </c>
      <c r="C208" s="6" t="s">
        <v>183</v>
      </c>
      <c r="D208" s="6" t="s">
        <v>525</v>
      </c>
      <c r="E208" s="7">
        <v>30000</v>
      </c>
      <c r="F208" s="7">
        <v>0</v>
      </c>
      <c r="G208" s="7">
        <v>4200</v>
      </c>
      <c r="H208" s="8">
        <v>0</v>
      </c>
      <c r="I208" s="7">
        <v>34200</v>
      </c>
    </row>
    <row r="209" spans="1:9" s="3" customFormat="1">
      <c r="A209" s="6" t="s">
        <v>722</v>
      </c>
      <c r="B209" s="6" t="s">
        <v>723</v>
      </c>
      <c r="C209" s="6" t="s">
        <v>183</v>
      </c>
      <c r="D209" s="6" t="s">
        <v>638</v>
      </c>
      <c r="E209" s="7">
        <v>9681.75</v>
      </c>
      <c r="F209" s="7">
        <v>0</v>
      </c>
      <c r="G209" s="7">
        <v>1355.4449999999999</v>
      </c>
      <c r="H209" s="8">
        <v>0</v>
      </c>
      <c r="I209" s="7">
        <v>11037.195</v>
      </c>
    </row>
    <row r="210" spans="1:9" s="3" customFormat="1">
      <c r="A210" s="6" t="s">
        <v>119</v>
      </c>
      <c r="B210" s="6" t="s">
        <v>120</v>
      </c>
      <c r="C210" s="6" t="s">
        <v>121</v>
      </c>
      <c r="D210" s="6" t="s">
        <v>62</v>
      </c>
      <c r="E210" s="7">
        <v>12209</v>
      </c>
      <c r="F210" s="7">
        <v>0</v>
      </c>
      <c r="G210" s="7">
        <v>1709.26</v>
      </c>
      <c r="H210" s="7">
        <v>122.09</v>
      </c>
      <c r="I210" s="7">
        <v>13796.17</v>
      </c>
    </row>
    <row r="211" spans="1:9" s="3" customFormat="1">
      <c r="A211" s="6" t="s">
        <v>146</v>
      </c>
      <c r="B211" s="6" t="s">
        <v>147</v>
      </c>
      <c r="C211" s="6" t="s">
        <v>121</v>
      </c>
      <c r="D211" s="6" t="s">
        <v>142</v>
      </c>
      <c r="E211" s="7">
        <v>200000</v>
      </c>
      <c r="F211" s="7">
        <v>0</v>
      </c>
      <c r="G211" s="7">
        <v>28000</v>
      </c>
      <c r="H211" s="8">
        <v>0</v>
      </c>
      <c r="I211" s="7">
        <v>228000</v>
      </c>
    </row>
    <row r="212" spans="1:9" s="3" customFormat="1">
      <c r="A212" s="3" t="s">
        <v>397</v>
      </c>
      <c r="B212" s="3" t="s">
        <v>398</v>
      </c>
      <c r="C212" s="3" t="s">
        <v>121</v>
      </c>
      <c r="D212" s="3" t="s">
        <v>340</v>
      </c>
      <c r="E212" s="4">
        <v>4500</v>
      </c>
      <c r="F212" s="4">
        <v>0</v>
      </c>
      <c r="G212" s="4">
        <v>630</v>
      </c>
      <c r="H212" s="4">
        <v>45</v>
      </c>
      <c r="I212" s="4">
        <v>5085</v>
      </c>
    </row>
    <row r="213" spans="1:9" s="3" customFormat="1">
      <c r="A213" s="6" t="s">
        <v>436</v>
      </c>
      <c r="B213" s="6" t="s">
        <v>437</v>
      </c>
      <c r="C213" s="6" t="s">
        <v>121</v>
      </c>
      <c r="D213" s="6" t="s">
        <v>421</v>
      </c>
      <c r="E213" s="7">
        <v>987157.89599999995</v>
      </c>
      <c r="F213" s="7">
        <v>0</v>
      </c>
      <c r="G213" s="7">
        <v>138202.10500000001</v>
      </c>
      <c r="H213" s="8">
        <v>0</v>
      </c>
      <c r="I213" s="7">
        <v>1125360.0009999999</v>
      </c>
    </row>
    <row r="214" spans="1:9" s="3" customFormat="1">
      <c r="A214" s="3" t="s">
        <v>790</v>
      </c>
      <c r="B214" s="3" t="s">
        <v>791</v>
      </c>
      <c r="C214" s="3" t="s">
        <v>121</v>
      </c>
      <c r="D214" s="3" t="s">
        <v>781</v>
      </c>
      <c r="E214" s="4">
        <v>19040</v>
      </c>
      <c r="F214" s="4">
        <v>0</v>
      </c>
      <c r="G214" s="4">
        <v>2665.6</v>
      </c>
      <c r="H214" s="5">
        <v>0</v>
      </c>
      <c r="I214" s="4">
        <v>21705.599999999999</v>
      </c>
    </row>
    <row r="215" spans="1:9" s="3" customFormat="1">
      <c r="A215" s="6" t="s">
        <v>824</v>
      </c>
      <c r="B215" s="6" t="s">
        <v>825</v>
      </c>
      <c r="C215" s="6" t="s">
        <v>826</v>
      </c>
      <c r="D215" s="6" t="s">
        <v>821</v>
      </c>
      <c r="E215" s="7">
        <v>4736.8419999999996</v>
      </c>
      <c r="F215" s="7">
        <v>0</v>
      </c>
      <c r="G215" s="7">
        <v>663.15787999999998</v>
      </c>
      <c r="H215" s="8">
        <v>0</v>
      </c>
      <c r="I215" s="7">
        <v>5399.9998800000003</v>
      </c>
    </row>
    <row r="216" spans="1:9" s="3" customFormat="1">
      <c r="A216" s="6" t="s">
        <v>29</v>
      </c>
      <c r="B216" s="6" t="s">
        <v>30</v>
      </c>
      <c r="C216" s="6" t="s">
        <v>31</v>
      </c>
      <c r="D216" s="6" t="s">
        <v>32</v>
      </c>
      <c r="E216" s="7">
        <v>105525</v>
      </c>
      <c r="F216" s="7">
        <v>0</v>
      </c>
      <c r="G216" s="7">
        <v>14773.5</v>
      </c>
      <c r="H216" s="8">
        <v>0</v>
      </c>
      <c r="I216" s="7">
        <v>120298.5</v>
      </c>
    </row>
    <row r="217" spans="1:9" s="3" customFormat="1">
      <c r="A217" s="3" t="s">
        <v>33</v>
      </c>
      <c r="B217" s="3" t="s">
        <v>34</v>
      </c>
      <c r="C217" s="3" t="s">
        <v>31</v>
      </c>
      <c r="D217" s="3" t="s">
        <v>32</v>
      </c>
      <c r="E217" s="4">
        <v>11700</v>
      </c>
      <c r="F217" s="4">
        <v>0</v>
      </c>
      <c r="G217" s="4">
        <v>1638</v>
      </c>
      <c r="H217" s="5">
        <v>0</v>
      </c>
      <c r="I217" s="4">
        <v>13338</v>
      </c>
    </row>
    <row r="218" spans="1:9" s="3" customFormat="1">
      <c r="A218" s="3" t="s">
        <v>613</v>
      </c>
      <c r="B218" s="3" t="s">
        <v>50</v>
      </c>
      <c r="C218" s="3" t="s">
        <v>31</v>
      </c>
      <c r="D218" s="3" t="s">
        <v>614</v>
      </c>
      <c r="E218" s="4">
        <v>480</v>
      </c>
      <c r="F218" s="4">
        <v>0</v>
      </c>
      <c r="G218" s="4">
        <v>67.2</v>
      </c>
      <c r="H218" s="5">
        <v>0</v>
      </c>
      <c r="I218" s="4">
        <v>547.20000000000005</v>
      </c>
    </row>
    <row r="219" spans="1:9" s="3" customFormat="1">
      <c r="A219" s="3" t="s">
        <v>314</v>
      </c>
      <c r="B219" s="3" t="s">
        <v>315</v>
      </c>
      <c r="C219" s="3" t="s">
        <v>316</v>
      </c>
      <c r="D219" s="3" t="s">
        <v>317</v>
      </c>
      <c r="E219" s="4">
        <v>17000</v>
      </c>
      <c r="F219" s="4">
        <v>0</v>
      </c>
      <c r="G219" s="4">
        <v>2380</v>
      </c>
      <c r="H219" s="5">
        <v>0</v>
      </c>
      <c r="I219" s="4">
        <v>19380</v>
      </c>
    </row>
    <row r="220" spans="1:9" s="3" customFormat="1">
      <c r="A220" s="6" t="s">
        <v>492</v>
      </c>
      <c r="B220" s="6" t="s">
        <v>493</v>
      </c>
      <c r="C220" s="6" t="s">
        <v>316</v>
      </c>
      <c r="D220" s="6" t="s">
        <v>487</v>
      </c>
      <c r="E220" s="7">
        <v>53425</v>
      </c>
      <c r="F220" s="7">
        <v>0</v>
      </c>
      <c r="G220" s="7">
        <v>7479.5</v>
      </c>
      <c r="H220" s="8">
        <v>0</v>
      </c>
      <c r="I220" s="7">
        <v>60904.5</v>
      </c>
    </row>
    <row r="221" spans="1:9" s="3" customFormat="1">
      <c r="A221" s="3" t="s">
        <v>494</v>
      </c>
      <c r="B221" s="3" t="s">
        <v>393</v>
      </c>
      <c r="C221" s="3" t="s">
        <v>316</v>
      </c>
      <c r="D221" s="3" t="s">
        <v>487</v>
      </c>
      <c r="E221" s="4">
        <v>11777</v>
      </c>
      <c r="F221" s="4">
        <v>0</v>
      </c>
      <c r="G221" s="4">
        <v>1648.78</v>
      </c>
      <c r="H221" s="5">
        <v>0</v>
      </c>
      <c r="I221" s="4">
        <v>13425.78</v>
      </c>
    </row>
    <row r="222" spans="1:9" s="3" customFormat="1">
      <c r="A222" s="6" t="s">
        <v>495</v>
      </c>
      <c r="B222" s="6" t="s">
        <v>496</v>
      </c>
      <c r="C222" s="6" t="s">
        <v>316</v>
      </c>
      <c r="D222" s="6" t="s">
        <v>487</v>
      </c>
      <c r="E222" s="7">
        <v>73313</v>
      </c>
      <c r="F222" s="7">
        <v>0</v>
      </c>
      <c r="G222" s="7">
        <v>10263.82</v>
      </c>
      <c r="H222" s="8">
        <v>0</v>
      </c>
      <c r="I222" s="7">
        <v>83576.820000000007</v>
      </c>
    </row>
    <row r="223" spans="1:9" s="3" customFormat="1">
      <c r="A223" s="3" t="s">
        <v>472</v>
      </c>
      <c r="B223" s="3" t="s">
        <v>473</v>
      </c>
      <c r="C223" s="3" t="s">
        <v>474</v>
      </c>
      <c r="D223" s="3" t="s">
        <v>444</v>
      </c>
      <c r="E223" s="4">
        <v>43398</v>
      </c>
      <c r="F223" s="4">
        <v>0</v>
      </c>
      <c r="G223" s="4">
        <v>6075.72</v>
      </c>
      <c r="H223" s="4">
        <v>433.98</v>
      </c>
      <c r="I223" s="4">
        <v>49039.74</v>
      </c>
    </row>
    <row r="224" spans="1:9" s="3" customFormat="1">
      <c r="A224" s="3" t="s">
        <v>497</v>
      </c>
      <c r="B224" s="3" t="s">
        <v>498</v>
      </c>
      <c r="C224" s="3" t="s">
        <v>474</v>
      </c>
      <c r="D224" s="3" t="s">
        <v>487</v>
      </c>
      <c r="E224" s="4">
        <v>75765</v>
      </c>
      <c r="F224" s="4">
        <v>0</v>
      </c>
      <c r="G224" s="4">
        <v>10607.1</v>
      </c>
      <c r="H224" s="5">
        <v>0</v>
      </c>
      <c r="I224" s="4">
        <v>86372.1</v>
      </c>
    </row>
    <row r="225" spans="1:9" s="3" customFormat="1">
      <c r="A225" s="6" t="s">
        <v>810</v>
      </c>
      <c r="B225" s="6" t="s">
        <v>590</v>
      </c>
      <c r="C225" s="6" t="s">
        <v>474</v>
      </c>
      <c r="D225" s="6" t="s">
        <v>794</v>
      </c>
      <c r="E225" s="7">
        <v>2750</v>
      </c>
      <c r="F225" s="7">
        <v>0</v>
      </c>
      <c r="G225" s="7">
        <v>385</v>
      </c>
      <c r="H225" s="7">
        <v>27.5</v>
      </c>
      <c r="I225" s="7">
        <v>3107.5</v>
      </c>
    </row>
    <row r="226" spans="1:9" s="3" customFormat="1">
      <c r="A226" s="6" t="s">
        <v>35</v>
      </c>
      <c r="B226" s="6" t="s">
        <v>36</v>
      </c>
      <c r="C226" s="6" t="s">
        <v>37</v>
      </c>
      <c r="D226" s="6" t="s">
        <v>32</v>
      </c>
      <c r="E226" s="7">
        <v>197800</v>
      </c>
      <c r="F226" s="7">
        <v>0</v>
      </c>
      <c r="G226" s="7">
        <v>27692</v>
      </c>
      <c r="H226" s="8">
        <v>0</v>
      </c>
      <c r="I226" s="7">
        <v>225492</v>
      </c>
    </row>
    <row r="227" spans="1:9" s="3" customFormat="1">
      <c r="A227" s="3" t="s">
        <v>38</v>
      </c>
      <c r="B227" s="3" t="s">
        <v>39</v>
      </c>
      <c r="C227" s="3" t="s">
        <v>37</v>
      </c>
      <c r="D227" s="3" t="s">
        <v>32</v>
      </c>
      <c r="E227" s="4">
        <v>30874.86</v>
      </c>
      <c r="F227" s="4">
        <v>0</v>
      </c>
      <c r="G227" s="4">
        <v>4322.4804000000004</v>
      </c>
      <c r="H227" s="5">
        <v>0</v>
      </c>
      <c r="I227" s="4">
        <v>35197.340400000001</v>
      </c>
    </row>
    <row r="228" spans="1:9" s="3" customFormat="1">
      <c r="A228" s="3" t="s">
        <v>358</v>
      </c>
      <c r="B228" s="3" t="s">
        <v>359</v>
      </c>
      <c r="C228" s="3" t="s">
        <v>37</v>
      </c>
      <c r="D228" s="3" t="s">
        <v>343</v>
      </c>
      <c r="E228" s="4">
        <v>19250</v>
      </c>
      <c r="F228" s="4">
        <v>0</v>
      </c>
      <c r="G228" s="4">
        <v>2695</v>
      </c>
      <c r="H228" s="5">
        <v>0</v>
      </c>
      <c r="I228" s="4">
        <v>21945</v>
      </c>
    </row>
    <row r="229" spans="1:9" s="3" customFormat="1">
      <c r="A229" s="6" t="s">
        <v>268</v>
      </c>
      <c r="B229" s="6" t="s">
        <v>269</v>
      </c>
      <c r="C229" s="6" t="s">
        <v>270</v>
      </c>
      <c r="D229" s="6" t="s">
        <v>237</v>
      </c>
      <c r="E229" s="7">
        <v>5750</v>
      </c>
      <c r="F229" s="7">
        <v>0</v>
      </c>
      <c r="G229" s="7">
        <v>805</v>
      </c>
      <c r="H229" s="7">
        <v>57.5</v>
      </c>
      <c r="I229" s="7">
        <v>6497.5</v>
      </c>
    </row>
    <row r="230" spans="1:9" s="3" customFormat="1">
      <c r="A230" s="6" t="s">
        <v>630</v>
      </c>
      <c r="B230" s="6" t="s">
        <v>631</v>
      </c>
      <c r="C230" s="6" t="s">
        <v>270</v>
      </c>
      <c r="D230" s="6" t="s">
        <v>632</v>
      </c>
      <c r="E230" s="7">
        <v>20800</v>
      </c>
      <c r="F230" s="7">
        <v>0</v>
      </c>
      <c r="G230" s="7">
        <v>2912</v>
      </c>
      <c r="H230" s="8">
        <v>0</v>
      </c>
      <c r="I230" s="7">
        <v>23712</v>
      </c>
    </row>
    <row r="231" spans="1:9" s="3" customFormat="1">
      <c r="A231" s="3" t="s">
        <v>724</v>
      </c>
      <c r="B231" s="3" t="s">
        <v>725</v>
      </c>
      <c r="C231" s="3" t="s">
        <v>270</v>
      </c>
      <c r="D231" s="3" t="s">
        <v>638</v>
      </c>
      <c r="E231" s="4">
        <v>15935.5</v>
      </c>
      <c r="F231" s="4">
        <v>0</v>
      </c>
      <c r="G231" s="4">
        <v>2230.9699999999998</v>
      </c>
      <c r="H231" s="5">
        <v>0</v>
      </c>
      <c r="I231" s="4">
        <v>18166.47</v>
      </c>
    </row>
    <row r="232" spans="1:9" s="3" customFormat="1">
      <c r="A232" s="6" t="s">
        <v>726</v>
      </c>
      <c r="B232" s="6" t="s">
        <v>727</v>
      </c>
      <c r="C232" s="6" t="s">
        <v>270</v>
      </c>
      <c r="D232" s="6" t="s">
        <v>638</v>
      </c>
      <c r="E232" s="7">
        <v>93366</v>
      </c>
      <c r="F232" s="7">
        <v>0</v>
      </c>
      <c r="G232" s="7">
        <v>13071.24</v>
      </c>
      <c r="H232" s="8">
        <v>0</v>
      </c>
      <c r="I232" s="7">
        <v>106437.24</v>
      </c>
    </row>
    <row r="233" spans="1:9" s="3" customFormat="1">
      <c r="A233" s="3" t="s">
        <v>758</v>
      </c>
      <c r="B233" s="3" t="s">
        <v>759</v>
      </c>
      <c r="C233" s="3" t="s">
        <v>270</v>
      </c>
      <c r="D233" s="3" t="s">
        <v>760</v>
      </c>
      <c r="E233" s="4">
        <v>16900</v>
      </c>
      <c r="F233" s="4">
        <v>0</v>
      </c>
      <c r="G233" s="4">
        <v>2366</v>
      </c>
      <c r="H233" s="5">
        <v>0</v>
      </c>
      <c r="I233" s="4">
        <v>19266</v>
      </c>
    </row>
    <row r="234" spans="1:9" s="3" customFormat="1">
      <c r="A234" s="3" t="s">
        <v>811</v>
      </c>
      <c r="B234" s="3" t="s">
        <v>674</v>
      </c>
      <c r="C234" s="3" t="s">
        <v>270</v>
      </c>
      <c r="D234" s="3" t="s">
        <v>794</v>
      </c>
      <c r="E234" s="4">
        <v>11750</v>
      </c>
      <c r="F234" s="4">
        <v>0</v>
      </c>
      <c r="G234" s="4">
        <v>1645</v>
      </c>
      <c r="H234" s="4">
        <v>117.5</v>
      </c>
      <c r="I234" s="4">
        <v>13277.5</v>
      </c>
    </row>
    <row r="235" spans="1:9" s="3" customFormat="1">
      <c r="A235" s="6" t="s">
        <v>812</v>
      </c>
      <c r="B235" s="6" t="s">
        <v>813</v>
      </c>
      <c r="C235" s="6" t="s">
        <v>270</v>
      </c>
      <c r="D235" s="6" t="s">
        <v>794</v>
      </c>
      <c r="E235" s="7">
        <v>450</v>
      </c>
      <c r="F235" s="7">
        <v>0</v>
      </c>
      <c r="G235" s="7">
        <v>63</v>
      </c>
      <c r="H235" s="7">
        <v>4.5</v>
      </c>
      <c r="I235" s="7">
        <v>508.5</v>
      </c>
    </row>
    <row r="236" spans="1:9" s="3" customFormat="1">
      <c r="A236" s="3" t="s">
        <v>589</v>
      </c>
      <c r="B236" s="3" t="s">
        <v>590</v>
      </c>
      <c r="C236" s="3" t="s">
        <v>591</v>
      </c>
      <c r="D236" s="3" t="s">
        <v>588</v>
      </c>
      <c r="E236" s="4">
        <v>3430</v>
      </c>
      <c r="F236" s="4">
        <v>0</v>
      </c>
      <c r="G236" s="4">
        <v>480.2</v>
      </c>
      <c r="H236" s="5">
        <v>0</v>
      </c>
      <c r="I236" s="4">
        <v>3910.2</v>
      </c>
    </row>
    <row r="237" spans="1:9" s="3" customFormat="1">
      <c r="A237" s="6" t="s">
        <v>208</v>
      </c>
      <c r="B237" s="6" t="s">
        <v>209</v>
      </c>
      <c r="C237" s="6" t="s">
        <v>210</v>
      </c>
      <c r="D237" s="6" t="s">
        <v>195</v>
      </c>
      <c r="E237" s="7">
        <v>8500</v>
      </c>
      <c r="F237" s="7">
        <v>0</v>
      </c>
      <c r="G237" s="7">
        <v>1190</v>
      </c>
      <c r="H237" s="7">
        <v>85</v>
      </c>
      <c r="I237" s="7">
        <v>9605</v>
      </c>
    </row>
    <row r="238" spans="1:9" s="3" customFormat="1">
      <c r="A238" s="6" t="s">
        <v>475</v>
      </c>
      <c r="B238" s="6" t="s">
        <v>476</v>
      </c>
      <c r="C238" s="6" t="s">
        <v>210</v>
      </c>
      <c r="D238" s="6" t="s">
        <v>444</v>
      </c>
      <c r="E238" s="7">
        <v>15190</v>
      </c>
      <c r="F238" s="7">
        <v>0</v>
      </c>
      <c r="G238" s="7">
        <v>2126.6</v>
      </c>
      <c r="H238" s="7">
        <v>151.9</v>
      </c>
      <c r="I238" s="7">
        <v>17164.7</v>
      </c>
    </row>
    <row r="239" spans="1:9" s="3" customFormat="1">
      <c r="A239" s="3" t="s">
        <v>43</v>
      </c>
      <c r="B239" s="3" t="s">
        <v>44</v>
      </c>
      <c r="C239" s="3" t="s">
        <v>45</v>
      </c>
      <c r="D239" s="3" t="s">
        <v>32</v>
      </c>
      <c r="E239" s="4">
        <v>45644</v>
      </c>
      <c r="F239" s="4">
        <v>0</v>
      </c>
      <c r="G239" s="4">
        <v>6390.16</v>
      </c>
      <c r="H239" s="5">
        <v>0</v>
      </c>
      <c r="I239" s="4">
        <v>52034.16</v>
      </c>
    </row>
    <row r="240" spans="1:9" s="3" customFormat="1">
      <c r="A240" s="6" t="s">
        <v>535</v>
      </c>
      <c r="B240" s="6" t="s">
        <v>536</v>
      </c>
      <c r="C240" s="6" t="s">
        <v>45</v>
      </c>
      <c r="D240" s="6" t="s">
        <v>529</v>
      </c>
      <c r="E240" s="7">
        <v>365560</v>
      </c>
      <c r="F240" s="7">
        <v>0</v>
      </c>
      <c r="G240" s="7">
        <v>51178.400000000001</v>
      </c>
      <c r="H240" s="7">
        <v>3655.6</v>
      </c>
      <c r="I240" s="7">
        <v>413082.8</v>
      </c>
    </row>
    <row r="241" spans="1:9" s="3" customFormat="1">
      <c r="A241" s="6" t="s">
        <v>767</v>
      </c>
      <c r="B241" s="6" t="s">
        <v>768</v>
      </c>
      <c r="C241" s="6" t="s">
        <v>45</v>
      </c>
      <c r="D241" s="6" t="s">
        <v>14</v>
      </c>
      <c r="E241" s="7">
        <v>28460</v>
      </c>
      <c r="F241" s="7">
        <v>0</v>
      </c>
      <c r="G241" s="7">
        <v>3984.4</v>
      </c>
      <c r="H241" s="8">
        <v>0</v>
      </c>
      <c r="I241" s="7">
        <v>32444.400000000001</v>
      </c>
    </row>
    <row r="242" spans="1:9" s="3" customFormat="1">
      <c r="A242" s="3" t="s">
        <v>311</v>
      </c>
      <c r="B242" s="3" t="s">
        <v>312</v>
      </c>
      <c r="C242" s="3" t="s">
        <v>313</v>
      </c>
      <c r="D242" s="3" t="s">
        <v>293</v>
      </c>
      <c r="E242" s="4">
        <v>16399</v>
      </c>
      <c r="F242" s="4">
        <v>0</v>
      </c>
      <c r="G242" s="4">
        <v>2295.86</v>
      </c>
      <c r="H242" s="5">
        <v>0</v>
      </c>
      <c r="I242" s="4">
        <v>18694.86</v>
      </c>
    </row>
    <row r="243" spans="1:9" s="3" customFormat="1">
      <c r="A243" s="3" t="s">
        <v>728</v>
      </c>
      <c r="B243" s="3" t="s">
        <v>729</v>
      </c>
      <c r="C243" s="3" t="s">
        <v>730</v>
      </c>
      <c r="D243" s="3" t="s">
        <v>638</v>
      </c>
      <c r="E243" s="4">
        <v>3680</v>
      </c>
      <c r="F243" s="4">
        <v>0</v>
      </c>
      <c r="G243" s="4">
        <v>515.20000000000005</v>
      </c>
      <c r="H243" s="5">
        <v>0</v>
      </c>
      <c r="I243" s="4">
        <v>4195.2</v>
      </c>
    </row>
    <row r="244" spans="1:9" s="3" customFormat="1">
      <c r="A244" s="6" t="s">
        <v>771</v>
      </c>
      <c r="B244" s="6" t="s">
        <v>772</v>
      </c>
      <c r="C244" s="6" t="s">
        <v>730</v>
      </c>
      <c r="D244" s="6" t="s">
        <v>773</v>
      </c>
      <c r="E244" s="7">
        <v>9500</v>
      </c>
      <c r="F244" s="7">
        <v>0</v>
      </c>
      <c r="G244" s="7">
        <v>1330</v>
      </c>
      <c r="H244" s="8">
        <v>0</v>
      </c>
      <c r="I244" s="7">
        <v>10830</v>
      </c>
    </row>
    <row r="245" spans="1:9" s="3" customFormat="1">
      <c r="A245" s="6" t="s">
        <v>40</v>
      </c>
      <c r="B245" s="6" t="s">
        <v>41</v>
      </c>
      <c r="C245" s="6" t="s">
        <v>42</v>
      </c>
      <c r="D245" s="6" t="s">
        <v>32</v>
      </c>
      <c r="E245" s="7">
        <v>20200</v>
      </c>
      <c r="F245" s="7">
        <v>0</v>
      </c>
      <c r="G245" s="7">
        <v>2828</v>
      </c>
      <c r="H245" s="8">
        <v>0</v>
      </c>
      <c r="I245" s="7">
        <v>23028</v>
      </c>
    </row>
    <row r="246" spans="1:9" s="3" customFormat="1">
      <c r="A246" s="3" t="s">
        <v>129</v>
      </c>
      <c r="B246" s="3" t="s">
        <v>130</v>
      </c>
      <c r="C246" s="3" t="s">
        <v>42</v>
      </c>
      <c r="D246" s="3" t="s">
        <v>125</v>
      </c>
      <c r="E246" s="4">
        <v>77550</v>
      </c>
      <c r="F246" s="4">
        <v>0</v>
      </c>
      <c r="G246" s="4">
        <v>10857</v>
      </c>
      <c r="H246" s="5">
        <v>0</v>
      </c>
      <c r="I246" s="4">
        <v>88407</v>
      </c>
    </row>
    <row r="247" spans="1:9" s="3" customFormat="1">
      <c r="A247" s="6" t="s">
        <v>641</v>
      </c>
      <c r="B247" s="6" t="s">
        <v>642</v>
      </c>
      <c r="C247" s="6" t="s">
        <v>42</v>
      </c>
      <c r="D247" s="6" t="s">
        <v>638</v>
      </c>
      <c r="E247" s="7">
        <v>17500</v>
      </c>
      <c r="F247" s="7">
        <v>0</v>
      </c>
      <c r="G247" s="7">
        <v>2450</v>
      </c>
      <c r="H247" s="8">
        <v>0</v>
      </c>
      <c r="I247" s="7">
        <v>19950</v>
      </c>
    </row>
    <row r="248" spans="1:9" s="3" customFormat="1">
      <c r="A248" s="3" t="s">
        <v>643</v>
      </c>
      <c r="B248" s="3" t="s">
        <v>644</v>
      </c>
      <c r="C248" s="3" t="s">
        <v>42</v>
      </c>
      <c r="D248" s="3" t="s">
        <v>638</v>
      </c>
      <c r="E248" s="4">
        <v>15327</v>
      </c>
      <c r="F248" s="4">
        <v>0</v>
      </c>
      <c r="G248" s="4">
        <v>2145.7800000000002</v>
      </c>
      <c r="H248" s="5">
        <v>0</v>
      </c>
      <c r="I248" s="4">
        <v>17472.78</v>
      </c>
    </row>
    <row r="249" spans="1:9" s="3" customFormat="1">
      <c r="A249" s="3" t="s">
        <v>211</v>
      </c>
      <c r="B249" s="3" t="s">
        <v>212</v>
      </c>
      <c r="C249" s="3" t="s">
        <v>213</v>
      </c>
      <c r="D249" s="3" t="s">
        <v>195</v>
      </c>
      <c r="E249" s="4">
        <v>2140</v>
      </c>
      <c r="F249" s="4">
        <v>0</v>
      </c>
      <c r="G249" s="4">
        <v>299.60000000000002</v>
      </c>
      <c r="H249" s="4">
        <v>21.4</v>
      </c>
      <c r="I249" s="4">
        <v>2418.1999999999998</v>
      </c>
    </row>
    <row r="250" spans="1:9" s="3" customFormat="1">
      <c r="A250" s="3" t="s">
        <v>271</v>
      </c>
      <c r="B250" s="3" t="s">
        <v>272</v>
      </c>
      <c r="C250" s="3" t="s">
        <v>213</v>
      </c>
      <c r="D250" s="3" t="s">
        <v>237</v>
      </c>
      <c r="E250" s="4">
        <v>1200</v>
      </c>
      <c r="F250" s="4">
        <v>0</v>
      </c>
      <c r="G250" s="4">
        <v>168</v>
      </c>
      <c r="H250" s="4">
        <v>12</v>
      </c>
      <c r="I250" s="4">
        <v>1356</v>
      </c>
    </row>
    <row r="251" spans="1:9" s="3" customFormat="1">
      <c r="A251" s="3" t="s">
        <v>104</v>
      </c>
      <c r="B251" s="3" t="s">
        <v>105</v>
      </c>
      <c r="C251" s="3" t="s">
        <v>106</v>
      </c>
      <c r="D251" s="3" t="s">
        <v>62</v>
      </c>
      <c r="E251" s="4">
        <v>152854</v>
      </c>
      <c r="F251" s="4">
        <v>0</v>
      </c>
      <c r="G251" s="4">
        <v>21399.56</v>
      </c>
      <c r="H251" s="4">
        <v>1528.54</v>
      </c>
      <c r="I251" s="4">
        <v>172725.02</v>
      </c>
    </row>
    <row r="252" spans="1:9" s="3" customFormat="1">
      <c r="A252" s="6" t="s">
        <v>273</v>
      </c>
      <c r="B252" s="6" t="s">
        <v>274</v>
      </c>
      <c r="C252" s="6" t="s">
        <v>106</v>
      </c>
      <c r="D252" s="6" t="s">
        <v>237</v>
      </c>
      <c r="E252" s="7">
        <v>11700</v>
      </c>
      <c r="F252" s="7">
        <v>0</v>
      </c>
      <c r="G252" s="7">
        <v>1638</v>
      </c>
      <c r="H252" s="7">
        <v>117</v>
      </c>
      <c r="I252" s="7">
        <v>13221</v>
      </c>
    </row>
    <row r="253" spans="1:9" s="3" customFormat="1">
      <c r="A253" s="3" t="s">
        <v>477</v>
      </c>
      <c r="B253" s="3" t="s">
        <v>478</v>
      </c>
      <c r="C253" s="3" t="s">
        <v>106</v>
      </c>
      <c r="D253" s="3" t="s">
        <v>444</v>
      </c>
      <c r="E253" s="4">
        <v>11775</v>
      </c>
      <c r="F253" s="4">
        <v>0</v>
      </c>
      <c r="G253" s="4">
        <v>1648.5</v>
      </c>
      <c r="H253" s="4">
        <v>117.75</v>
      </c>
      <c r="I253" s="4">
        <v>13305.75</v>
      </c>
    </row>
    <row r="254" spans="1:9" s="3" customFormat="1">
      <c r="A254" s="6" t="s">
        <v>399</v>
      </c>
      <c r="B254" s="6" t="s">
        <v>400</v>
      </c>
      <c r="C254" s="6" t="s">
        <v>401</v>
      </c>
      <c r="D254" s="6" t="s">
        <v>340</v>
      </c>
      <c r="E254" s="7">
        <v>439994.37</v>
      </c>
      <c r="F254" s="7">
        <v>0</v>
      </c>
      <c r="G254" s="7">
        <v>61599.211799999997</v>
      </c>
      <c r="H254" s="7">
        <v>4399.9436999999998</v>
      </c>
      <c r="I254" s="7">
        <v>497193.63809999998</v>
      </c>
    </row>
    <row r="255" spans="1:9" s="3" customFormat="1">
      <c r="A255" s="6" t="s">
        <v>645</v>
      </c>
      <c r="B255" s="6" t="s">
        <v>646</v>
      </c>
      <c r="C255" s="6" t="s">
        <v>401</v>
      </c>
      <c r="D255" s="6" t="s">
        <v>638</v>
      </c>
      <c r="E255" s="7">
        <v>21540.7</v>
      </c>
      <c r="F255" s="7">
        <v>0</v>
      </c>
      <c r="G255" s="7">
        <v>3015.6979999999999</v>
      </c>
      <c r="H255" s="8">
        <v>0</v>
      </c>
      <c r="I255" s="7">
        <v>24556.398000000001</v>
      </c>
    </row>
    <row r="256" spans="1:9" s="3" customFormat="1">
      <c r="A256" s="6" t="s">
        <v>152</v>
      </c>
      <c r="B256" s="6" t="s">
        <v>153</v>
      </c>
      <c r="C256" s="6" t="s">
        <v>154</v>
      </c>
      <c r="D256" s="6" t="s">
        <v>155</v>
      </c>
      <c r="E256" s="7">
        <v>4290</v>
      </c>
      <c r="F256" s="7">
        <v>0</v>
      </c>
      <c r="G256" s="7">
        <v>600.6</v>
      </c>
      <c r="H256" s="7">
        <v>42.9</v>
      </c>
      <c r="I256" s="7">
        <v>4847.7</v>
      </c>
    </row>
    <row r="257" spans="1:9" s="3" customFormat="1">
      <c r="A257" s="3" t="s">
        <v>609</v>
      </c>
      <c r="B257" s="3" t="s">
        <v>610</v>
      </c>
      <c r="C257" s="3" t="s">
        <v>154</v>
      </c>
      <c r="D257" s="3" t="s">
        <v>608</v>
      </c>
      <c r="E257" s="4">
        <v>27475</v>
      </c>
      <c r="F257" s="4">
        <v>0</v>
      </c>
      <c r="G257" s="4">
        <v>3650.5</v>
      </c>
      <c r="H257" s="5">
        <v>0</v>
      </c>
      <c r="I257" s="4">
        <v>31125.5</v>
      </c>
    </row>
    <row r="258" spans="1:9" s="3" customFormat="1">
      <c r="A258" s="3" t="s">
        <v>222</v>
      </c>
      <c r="B258" s="3" t="s">
        <v>223</v>
      </c>
      <c r="C258" s="3" t="s">
        <v>224</v>
      </c>
      <c r="D258" s="3" t="s">
        <v>221</v>
      </c>
      <c r="E258" s="4">
        <v>6960</v>
      </c>
      <c r="F258" s="4">
        <v>0</v>
      </c>
      <c r="G258" s="4">
        <v>974.4</v>
      </c>
      <c r="H258" s="4">
        <v>69.599999999999994</v>
      </c>
      <c r="I258" s="4">
        <v>7864.8</v>
      </c>
    </row>
    <row r="259" spans="1:9" s="3" customFormat="1">
      <c r="A259" s="6" t="s">
        <v>107</v>
      </c>
      <c r="B259" s="6" t="s">
        <v>108</v>
      </c>
      <c r="C259" s="6" t="s">
        <v>109</v>
      </c>
      <c r="D259" s="6" t="s">
        <v>62</v>
      </c>
      <c r="E259" s="7">
        <v>85878.2</v>
      </c>
      <c r="F259" s="7">
        <v>0</v>
      </c>
      <c r="G259" s="7">
        <v>12022.948</v>
      </c>
      <c r="H259" s="7">
        <v>858.78200000000004</v>
      </c>
      <c r="I259" s="7">
        <v>97042.365999999995</v>
      </c>
    </row>
    <row r="260" spans="1:9" s="3" customFormat="1">
      <c r="A260" s="3" t="s">
        <v>26</v>
      </c>
      <c r="B260" s="3" t="s">
        <v>27</v>
      </c>
      <c r="C260" s="3" t="s">
        <v>28</v>
      </c>
      <c r="D260" s="3" t="s">
        <v>19</v>
      </c>
      <c r="E260" s="4">
        <v>39000</v>
      </c>
      <c r="F260" s="4">
        <v>0</v>
      </c>
      <c r="G260" s="4">
        <v>5460</v>
      </c>
      <c r="H260" s="4">
        <v>390</v>
      </c>
      <c r="I260" s="4">
        <v>44070</v>
      </c>
    </row>
    <row r="261" spans="1:9" s="3" customFormat="1">
      <c r="A261" s="6" t="s">
        <v>514</v>
      </c>
      <c r="B261" s="6" t="s">
        <v>515</v>
      </c>
      <c r="C261" s="6" t="s">
        <v>28</v>
      </c>
      <c r="D261" s="6" t="s">
        <v>510</v>
      </c>
      <c r="E261" s="7">
        <v>30100</v>
      </c>
      <c r="F261" s="7">
        <v>0</v>
      </c>
      <c r="G261" s="8">
        <v>0</v>
      </c>
      <c r="H261" s="7">
        <v>301</v>
      </c>
      <c r="I261" s="7">
        <v>29799</v>
      </c>
    </row>
    <row r="262" spans="1:9" s="3" customFormat="1">
      <c r="A262" s="3" t="s">
        <v>110</v>
      </c>
      <c r="B262" s="3" t="s">
        <v>111</v>
      </c>
      <c r="C262" s="3" t="s">
        <v>112</v>
      </c>
      <c r="D262" s="3" t="s">
        <v>62</v>
      </c>
      <c r="E262" s="4">
        <v>83375</v>
      </c>
      <c r="F262" s="4">
        <v>0</v>
      </c>
      <c r="G262" s="4">
        <v>11672.5</v>
      </c>
      <c r="H262" s="4">
        <v>833.75</v>
      </c>
      <c r="I262" s="4">
        <v>94213.75</v>
      </c>
    </row>
    <row r="263" spans="1:9" s="3" customFormat="1">
      <c r="A263" s="6" t="s">
        <v>225</v>
      </c>
      <c r="B263" s="6" t="s">
        <v>226</v>
      </c>
      <c r="C263" s="6" t="s">
        <v>112</v>
      </c>
      <c r="D263" s="6" t="s">
        <v>221</v>
      </c>
      <c r="E263" s="7">
        <v>800</v>
      </c>
      <c r="F263" s="7">
        <v>0</v>
      </c>
      <c r="G263" s="7">
        <v>112</v>
      </c>
      <c r="H263" s="7">
        <v>8</v>
      </c>
      <c r="I263" s="7">
        <v>904</v>
      </c>
    </row>
    <row r="264" spans="1:9" s="3" customFormat="1">
      <c r="A264" s="3" t="s">
        <v>402</v>
      </c>
      <c r="B264" s="3" t="s">
        <v>403</v>
      </c>
      <c r="C264" s="3" t="s">
        <v>112</v>
      </c>
      <c r="D264" s="3" t="s">
        <v>340</v>
      </c>
      <c r="E264" s="4">
        <v>93475.91</v>
      </c>
      <c r="F264" s="4">
        <v>0</v>
      </c>
      <c r="G264" s="4">
        <v>13086.627399999999</v>
      </c>
      <c r="H264" s="4">
        <v>934.75909999999999</v>
      </c>
      <c r="I264" s="4">
        <v>105627.77830000001</v>
      </c>
    </row>
    <row r="265" spans="1:9" s="3" customFormat="1">
      <c r="A265" s="3" t="s">
        <v>647</v>
      </c>
      <c r="B265" s="3" t="s">
        <v>648</v>
      </c>
      <c r="C265" s="3" t="s">
        <v>112</v>
      </c>
      <c r="D265" s="3" t="s">
        <v>638</v>
      </c>
      <c r="E265" s="4">
        <v>13513.5</v>
      </c>
      <c r="F265" s="4">
        <v>0</v>
      </c>
      <c r="G265" s="4">
        <v>1891.89</v>
      </c>
      <c r="H265" s="5">
        <v>0</v>
      </c>
      <c r="I265" s="4">
        <v>15405.39</v>
      </c>
    </row>
    <row r="266" spans="1:9" s="3" customFormat="1">
      <c r="A266" s="6" t="s">
        <v>649</v>
      </c>
      <c r="B266" s="6" t="s">
        <v>650</v>
      </c>
      <c r="C266" s="6" t="s">
        <v>112</v>
      </c>
      <c r="D266" s="6" t="s">
        <v>638</v>
      </c>
      <c r="E266" s="7">
        <v>38083.5</v>
      </c>
      <c r="F266" s="7">
        <v>0</v>
      </c>
      <c r="G266" s="7">
        <v>5331.69</v>
      </c>
      <c r="H266" s="8">
        <v>0</v>
      </c>
      <c r="I266" s="7">
        <v>43415.19</v>
      </c>
    </row>
    <row r="267" spans="1:9" s="3" customFormat="1">
      <c r="A267" s="3" t="s">
        <v>275</v>
      </c>
      <c r="B267" s="3" t="s">
        <v>276</v>
      </c>
      <c r="C267" s="3" t="s">
        <v>277</v>
      </c>
      <c r="D267" s="3" t="s">
        <v>237</v>
      </c>
      <c r="E267" s="4">
        <v>8750</v>
      </c>
      <c r="F267" s="4">
        <v>0</v>
      </c>
      <c r="G267" s="4">
        <v>1225</v>
      </c>
      <c r="H267" s="4">
        <v>87.5</v>
      </c>
      <c r="I267" s="4">
        <v>9887.5</v>
      </c>
    </row>
    <row r="268" spans="1:9" s="3" customFormat="1">
      <c r="A268" s="3" t="s">
        <v>306</v>
      </c>
      <c r="B268" s="3" t="s">
        <v>307</v>
      </c>
      <c r="C268" s="3" t="s">
        <v>277</v>
      </c>
      <c r="D268" s="3" t="s">
        <v>293</v>
      </c>
      <c r="E268" s="4">
        <v>29150</v>
      </c>
      <c r="F268" s="4">
        <v>0</v>
      </c>
      <c r="G268" s="4">
        <v>4081</v>
      </c>
      <c r="H268" s="5">
        <v>0</v>
      </c>
      <c r="I268" s="4">
        <v>33231</v>
      </c>
    </row>
    <row r="269" spans="1:9" s="3" customFormat="1">
      <c r="A269" s="6" t="s">
        <v>52</v>
      </c>
      <c r="B269" s="6" t="s">
        <v>53</v>
      </c>
      <c r="C269" s="6" t="s">
        <v>54</v>
      </c>
      <c r="D269" s="6" t="s">
        <v>55</v>
      </c>
      <c r="E269" s="7">
        <v>13230</v>
      </c>
      <c r="F269" s="7">
        <v>0</v>
      </c>
      <c r="G269" s="7">
        <v>1852.2</v>
      </c>
      <c r="H269" s="8">
        <v>0</v>
      </c>
      <c r="I269" s="7">
        <v>15082.2</v>
      </c>
    </row>
    <row r="270" spans="1:9" s="3" customFormat="1">
      <c r="A270" s="6" t="s">
        <v>131</v>
      </c>
      <c r="B270" s="6" t="s">
        <v>132</v>
      </c>
      <c r="C270" s="6" t="s">
        <v>54</v>
      </c>
      <c r="D270" s="6" t="s">
        <v>125</v>
      </c>
      <c r="E270" s="7">
        <v>155100</v>
      </c>
      <c r="F270" s="7">
        <v>0</v>
      </c>
      <c r="G270" s="7">
        <v>21714</v>
      </c>
      <c r="H270" s="8">
        <v>0</v>
      </c>
      <c r="I270" s="7">
        <v>176814</v>
      </c>
    </row>
    <row r="271" spans="1:9" s="3" customFormat="1">
      <c r="A271" s="3" t="s">
        <v>553</v>
      </c>
      <c r="B271" s="3" t="s">
        <v>554</v>
      </c>
      <c r="C271" s="3" t="s">
        <v>54</v>
      </c>
      <c r="D271" s="3" t="s">
        <v>555</v>
      </c>
      <c r="E271" s="4">
        <v>11030</v>
      </c>
      <c r="F271" s="4">
        <v>0</v>
      </c>
      <c r="G271" s="4">
        <v>1544.2</v>
      </c>
      <c r="H271" s="5">
        <v>0</v>
      </c>
      <c r="I271" s="4">
        <v>12574.2</v>
      </c>
    </row>
    <row r="272" spans="1:9" s="3" customFormat="1">
      <c r="A272" s="6" t="s">
        <v>318</v>
      </c>
      <c r="B272" s="6" t="s">
        <v>319</v>
      </c>
      <c r="C272" s="6" t="s">
        <v>320</v>
      </c>
      <c r="D272" s="6" t="s">
        <v>317</v>
      </c>
      <c r="E272" s="7">
        <v>87525</v>
      </c>
      <c r="F272" s="7">
        <v>0</v>
      </c>
      <c r="G272" s="7">
        <v>12253.5</v>
      </c>
      <c r="H272" s="8">
        <v>0</v>
      </c>
      <c r="I272" s="7">
        <v>99778.5</v>
      </c>
    </row>
    <row r="273" spans="1:9" s="3" customFormat="1">
      <c r="A273" s="3" t="s">
        <v>321</v>
      </c>
      <c r="B273" s="3" t="s">
        <v>322</v>
      </c>
      <c r="C273" s="3" t="s">
        <v>320</v>
      </c>
      <c r="D273" s="3" t="s">
        <v>317</v>
      </c>
      <c r="E273" s="4">
        <v>42050</v>
      </c>
      <c r="F273" s="4">
        <v>0</v>
      </c>
      <c r="G273" s="4">
        <v>5887</v>
      </c>
      <c r="H273" s="5">
        <v>0</v>
      </c>
      <c r="I273" s="4">
        <v>47937</v>
      </c>
    </row>
    <row r="274" spans="1:9" s="3" customFormat="1">
      <c r="A274" s="6" t="s">
        <v>323</v>
      </c>
      <c r="B274" s="6" t="s">
        <v>324</v>
      </c>
      <c r="C274" s="6" t="s">
        <v>320</v>
      </c>
      <c r="D274" s="6" t="s">
        <v>317</v>
      </c>
      <c r="E274" s="7">
        <v>54100</v>
      </c>
      <c r="F274" s="7">
        <v>0</v>
      </c>
      <c r="G274" s="7">
        <v>7574</v>
      </c>
      <c r="H274" s="8">
        <v>0</v>
      </c>
      <c r="I274" s="7">
        <v>61674</v>
      </c>
    </row>
    <row r="275" spans="1:9" s="3" customFormat="1">
      <c r="A275" s="6" t="s">
        <v>636</v>
      </c>
      <c r="B275" s="6" t="s">
        <v>637</v>
      </c>
      <c r="C275" s="6" t="s">
        <v>320</v>
      </c>
      <c r="D275" s="6" t="s">
        <v>638</v>
      </c>
      <c r="E275" s="7">
        <v>16201.8</v>
      </c>
      <c r="F275" s="7">
        <v>0</v>
      </c>
      <c r="G275" s="7">
        <v>2268.252</v>
      </c>
      <c r="H275" s="8">
        <v>0</v>
      </c>
      <c r="I275" s="7">
        <v>18470.052</v>
      </c>
    </row>
    <row r="276" spans="1:9" s="3" customFormat="1">
      <c r="A276" s="3" t="s">
        <v>639</v>
      </c>
      <c r="B276" s="3" t="s">
        <v>640</v>
      </c>
      <c r="C276" s="3" t="s">
        <v>320</v>
      </c>
      <c r="D276" s="3" t="s">
        <v>638</v>
      </c>
      <c r="E276" s="4">
        <v>6938.1</v>
      </c>
      <c r="F276" s="4">
        <v>0</v>
      </c>
      <c r="G276" s="4">
        <v>971.33399999999995</v>
      </c>
      <c r="H276" s="5">
        <v>0</v>
      </c>
      <c r="I276" s="4">
        <v>7909.4340000000002</v>
      </c>
    </row>
    <row r="277" spans="1:9" s="3" customFormat="1">
      <c r="A277" s="6" t="s">
        <v>278</v>
      </c>
      <c r="B277" s="6" t="s">
        <v>279</v>
      </c>
      <c r="C277" s="6" t="s">
        <v>280</v>
      </c>
      <c r="D277" s="6" t="s">
        <v>237</v>
      </c>
      <c r="E277" s="7">
        <v>12500</v>
      </c>
      <c r="F277" s="7">
        <v>0</v>
      </c>
      <c r="G277" s="7">
        <v>1750</v>
      </c>
      <c r="H277" s="7">
        <v>125</v>
      </c>
      <c r="I277" s="7">
        <v>14125</v>
      </c>
    </row>
    <row r="278" spans="1:9" s="3" customFormat="1">
      <c r="A278" s="6" t="s">
        <v>479</v>
      </c>
      <c r="B278" s="6" t="s">
        <v>480</v>
      </c>
      <c r="C278" s="6" t="s">
        <v>481</v>
      </c>
      <c r="D278" s="6" t="s">
        <v>444</v>
      </c>
      <c r="E278" s="7">
        <v>15030</v>
      </c>
      <c r="F278" s="7">
        <v>0</v>
      </c>
      <c r="G278" s="7">
        <v>2104.1999999999998</v>
      </c>
      <c r="H278" s="7">
        <v>150.30000000000001</v>
      </c>
      <c r="I278" s="7">
        <v>16983.900000000001</v>
      </c>
    </row>
    <row r="279" spans="1:9" s="3" customFormat="1">
      <c r="A279" s="6" t="s">
        <v>404</v>
      </c>
      <c r="B279" s="6" t="s">
        <v>405</v>
      </c>
      <c r="C279" s="6" t="s">
        <v>406</v>
      </c>
      <c r="D279" s="6" t="s">
        <v>340</v>
      </c>
      <c r="E279" s="7">
        <v>25600</v>
      </c>
      <c r="F279" s="7">
        <v>0</v>
      </c>
      <c r="G279" s="7">
        <v>3584</v>
      </c>
      <c r="H279" s="7">
        <v>256</v>
      </c>
      <c r="I279" s="7">
        <v>28928</v>
      </c>
    </row>
    <row r="280" spans="1:9" s="3" customFormat="1">
      <c r="A280" s="3" t="s">
        <v>583</v>
      </c>
      <c r="B280" s="3" t="s">
        <v>584</v>
      </c>
      <c r="C280" s="3" t="s">
        <v>406</v>
      </c>
      <c r="D280" s="3" t="s">
        <v>585</v>
      </c>
      <c r="E280" s="4">
        <v>115266.2056</v>
      </c>
      <c r="F280" s="4">
        <v>0</v>
      </c>
      <c r="G280" s="4">
        <v>16137.26878</v>
      </c>
      <c r="H280" s="4">
        <v>1152.6620600000001</v>
      </c>
      <c r="I280" s="4">
        <v>130250.81232</v>
      </c>
    </row>
    <row r="281" spans="1:9" s="3" customFormat="1">
      <c r="A281" s="3" t="s">
        <v>537</v>
      </c>
      <c r="B281" s="3" t="s">
        <v>538</v>
      </c>
      <c r="C281" s="3" t="s">
        <v>539</v>
      </c>
      <c r="D281" s="3" t="s">
        <v>529</v>
      </c>
      <c r="E281" s="4">
        <v>409873</v>
      </c>
      <c r="F281" s="4">
        <v>0</v>
      </c>
      <c r="G281" s="4">
        <v>57382.22</v>
      </c>
      <c r="H281" s="4">
        <v>4098.7299999999996</v>
      </c>
      <c r="I281" s="4">
        <v>463156.49</v>
      </c>
    </row>
    <row r="282" spans="1:9" s="3" customFormat="1">
      <c r="A282" s="3" t="s">
        <v>769</v>
      </c>
      <c r="B282" s="3" t="s">
        <v>770</v>
      </c>
      <c r="C282" s="3" t="s">
        <v>539</v>
      </c>
      <c r="D282" s="3" t="s">
        <v>14</v>
      </c>
      <c r="E282" s="4">
        <v>17260</v>
      </c>
      <c r="F282" s="4">
        <v>0</v>
      </c>
      <c r="G282" s="4">
        <v>2416.4</v>
      </c>
      <c r="H282" s="5">
        <v>0</v>
      </c>
      <c r="I282" s="4">
        <v>19676.400000000001</v>
      </c>
    </row>
    <row r="283" spans="1:9" s="3" customFormat="1">
      <c r="A283" s="3" t="s">
        <v>651</v>
      </c>
      <c r="B283" s="3" t="s">
        <v>652</v>
      </c>
      <c r="C283" s="3" t="s">
        <v>653</v>
      </c>
      <c r="D283" s="3" t="s">
        <v>638</v>
      </c>
      <c r="E283" s="4">
        <v>28695.45</v>
      </c>
      <c r="F283" s="4">
        <v>0</v>
      </c>
      <c r="G283" s="4">
        <v>4017.3629999999998</v>
      </c>
      <c r="H283" s="5">
        <v>0</v>
      </c>
      <c r="I283" s="4">
        <v>32712.812999999998</v>
      </c>
    </row>
    <row r="284" spans="1:9" s="3" customFormat="1">
      <c r="A284" s="6" t="s">
        <v>654</v>
      </c>
      <c r="B284" s="6" t="s">
        <v>562</v>
      </c>
      <c r="C284" s="6" t="s">
        <v>653</v>
      </c>
      <c r="D284" s="6" t="s">
        <v>638</v>
      </c>
      <c r="E284" s="7">
        <v>70200</v>
      </c>
      <c r="F284" s="7">
        <v>0</v>
      </c>
      <c r="G284" s="7">
        <v>9828</v>
      </c>
      <c r="H284" s="8">
        <v>0</v>
      </c>
      <c r="I284" s="7">
        <v>80028</v>
      </c>
    </row>
    <row r="285" spans="1:9" s="3" customFormat="1">
      <c r="A285" s="3" t="s">
        <v>655</v>
      </c>
      <c r="B285" s="3" t="s">
        <v>656</v>
      </c>
      <c r="C285" s="3" t="s">
        <v>653</v>
      </c>
      <c r="D285" s="3" t="s">
        <v>638</v>
      </c>
      <c r="E285" s="4">
        <v>10588.5</v>
      </c>
      <c r="F285" s="4">
        <v>0</v>
      </c>
      <c r="G285" s="4">
        <v>1482.39</v>
      </c>
      <c r="H285" s="5">
        <v>0</v>
      </c>
      <c r="I285" s="4">
        <v>12070.89</v>
      </c>
    </row>
    <row r="286" spans="1:9" s="3" customFormat="1">
      <c r="A286" s="6" t="s">
        <v>657</v>
      </c>
      <c r="B286" s="6" t="s">
        <v>658</v>
      </c>
      <c r="C286" s="6" t="s">
        <v>653</v>
      </c>
      <c r="D286" s="6" t="s">
        <v>638</v>
      </c>
      <c r="E286" s="7">
        <v>7699.3</v>
      </c>
      <c r="F286" s="7">
        <v>0</v>
      </c>
      <c r="G286" s="7">
        <v>1077.902</v>
      </c>
      <c r="H286" s="8">
        <v>0</v>
      </c>
      <c r="I286" s="7">
        <v>8777.2019999999993</v>
      </c>
    </row>
    <row r="287" spans="1:9" s="3" customFormat="1">
      <c r="A287" s="6" t="s">
        <v>113</v>
      </c>
      <c r="B287" s="6" t="s">
        <v>114</v>
      </c>
      <c r="C287" s="6" t="s">
        <v>115</v>
      </c>
      <c r="D287" s="6" t="s">
        <v>62</v>
      </c>
      <c r="E287" s="7">
        <v>43430</v>
      </c>
      <c r="F287" s="7">
        <v>0</v>
      </c>
      <c r="G287" s="7">
        <v>6080.2</v>
      </c>
      <c r="H287" s="7">
        <v>434.3</v>
      </c>
      <c r="I287" s="7">
        <v>49075.9</v>
      </c>
    </row>
    <row r="288" spans="1:9" s="3" customFormat="1">
      <c r="A288" s="3" t="s">
        <v>659</v>
      </c>
      <c r="B288" s="3" t="s">
        <v>660</v>
      </c>
      <c r="C288" s="3" t="s">
        <v>115</v>
      </c>
      <c r="D288" s="3" t="s">
        <v>638</v>
      </c>
      <c r="E288" s="4">
        <v>3097.55</v>
      </c>
      <c r="F288" s="4">
        <v>0</v>
      </c>
      <c r="G288" s="4">
        <v>433.65699999999998</v>
      </c>
      <c r="H288" s="5">
        <v>0</v>
      </c>
      <c r="I288" s="4">
        <v>3531.2069999999999</v>
      </c>
    </row>
    <row r="289" spans="1:9" s="3" customFormat="1">
      <c r="A289" s="3" t="s">
        <v>774</v>
      </c>
      <c r="B289" s="3" t="s">
        <v>775</v>
      </c>
      <c r="C289" s="3" t="s">
        <v>115</v>
      </c>
      <c r="D289" s="3" t="s">
        <v>773</v>
      </c>
      <c r="E289" s="4">
        <v>2250</v>
      </c>
      <c r="F289" s="4">
        <v>0</v>
      </c>
      <c r="G289" s="4">
        <v>315</v>
      </c>
      <c r="H289" s="5">
        <v>0</v>
      </c>
      <c r="I289" s="4">
        <v>2565</v>
      </c>
    </row>
    <row r="290" spans="1:9" s="3" customFormat="1">
      <c r="A290" s="6" t="s">
        <v>136</v>
      </c>
      <c r="B290" s="6" t="s">
        <v>137</v>
      </c>
      <c r="C290" s="6" t="s">
        <v>138</v>
      </c>
      <c r="D290" s="6" t="s">
        <v>139</v>
      </c>
      <c r="E290" s="7">
        <v>50225</v>
      </c>
      <c r="F290" s="7">
        <v>0</v>
      </c>
      <c r="G290" s="7">
        <v>7031.5</v>
      </c>
      <c r="H290" s="7">
        <v>1506.75</v>
      </c>
      <c r="I290" s="7">
        <v>55749.75</v>
      </c>
    </row>
    <row r="291" spans="1:9" s="3" customFormat="1">
      <c r="A291" s="3" t="s">
        <v>413</v>
      </c>
      <c r="B291" s="3" t="s">
        <v>414</v>
      </c>
      <c r="C291" s="3" t="s">
        <v>138</v>
      </c>
      <c r="D291" s="3" t="s">
        <v>415</v>
      </c>
      <c r="E291" s="4">
        <v>42808.088000000003</v>
      </c>
      <c r="F291" s="4">
        <v>2140.4043999999999</v>
      </c>
      <c r="G291" s="4">
        <v>5693.4757</v>
      </c>
      <c r="H291" s="5">
        <v>0</v>
      </c>
      <c r="I291" s="4">
        <v>46361.159299999999</v>
      </c>
    </row>
    <row r="292" spans="1:9" s="3" customFormat="1">
      <c r="A292" s="3" t="s">
        <v>827</v>
      </c>
      <c r="B292" s="3" t="s">
        <v>828</v>
      </c>
      <c r="C292" s="3" t="s">
        <v>138</v>
      </c>
      <c r="D292" s="3" t="s">
        <v>821</v>
      </c>
      <c r="E292" s="4">
        <v>2105.2631000000001</v>
      </c>
      <c r="F292" s="4">
        <v>0</v>
      </c>
      <c r="G292" s="4">
        <v>294.73683</v>
      </c>
      <c r="H292" s="5">
        <v>0</v>
      </c>
      <c r="I292" s="4">
        <v>2399.9999299999999</v>
      </c>
    </row>
    <row r="293" spans="1:9" s="3" customFormat="1">
      <c r="A293" s="3" t="s">
        <v>407</v>
      </c>
      <c r="B293" s="3" t="s">
        <v>408</v>
      </c>
      <c r="C293" s="3" t="s">
        <v>409</v>
      </c>
      <c r="D293" s="3" t="s">
        <v>340</v>
      </c>
      <c r="E293" s="4">
        <v>2351250</v>
      </c>
      <c r="F293" s="4">
        <v>0</v>
      </c>
      <c r="G293" s="4">
        <v>329175</v>
      </c>
      <c r="H293" s="4">
        <v>23512.5</v>
      </c>
      <c r="I293" s="4">
        <v>2656912.5</v>
      </c>
    </row>
    <row r="294" spans="1:9" s="3" customFormat="1">
      <c r="A294" s="3" t="s">
        <v>519</v>
      </c>
      <c r="B294" s="3" t="s">
        <v>520</v>
      </c>
      <c r="C294" s="3" t="s">
        <v>521</v>
      </c>
      <c r="D294" s="3" t="s">
        <v>522</v>
      </c>
      <c r="E294" s="4">
        <v>30550</v>
      </c>
      <c r="F294" s="4">
        <v>0</v>
      </c>
      <c r="G294" s="4">
        <v>4277</v>
      </c>
      <c r="H294" s="5">
        <v>0</v>
      </c>
      <c r="I294" s="4">
        <v>34827</v>
      </c>
    </row>
    <row r="295" spans="1:9" s="3" customFormat="1">
      <c r="A295" s="3" t="s">
        <v>559</v>
      </c>
      <c r="B295" s="3" t="s">
        <v>560</v>
      </c>
      <c r="C295" s="3" t="s">
        <v>521</v>
      </c>
      <c r="D295" s="3" t="s">
        <v>558</v>
      </c>
      <c r="E295" s="4">
        <v>1453.4133999999999</v>
      </c>
      <c r="F295" s="4">
        <v>0</v>
      </c>
      <c r="G295" s="4">
        <v>203.48</v>
      </c>
      <c r="H295" s="5">
        <v>0</v>
      </c>
      <c r="I295" s="4">
        <v>1656.8933999999999</v>
      </c>
    </row>
    <row r="296" spans="1:9" s="3" customFormat="1">
      <c r="A296" s="3" t="s">
        <v>281</v>
      </c>
      <c r="B296" s="3" t="s">
        <v>282</v>
      </c>
      <c r="C296" s="3" t="s">
        <v>283</v>
      </c>
      <c r="D296" s="3" t="s">
        <v>237</v>
      </c>
      <c r="E296" s="4">
        <v>1200</v>
      </c>
      <c r="F296" s="4">
        <v>0</v>
      </c>
      <c r="G296" s="4">
        <v>168</v>
      </c>
      <c r="H296" s="4">
        <v>12</v>
      </c>
      <c r="I296" s="4">
        <v>1356</v>
      </c>
    </row>
    <row r="297" spans="1:9" s="3" customFormat="1">
      <c r="A297" s="6" t="s">
        <v>360</v>
      </c>
      <c r="B297" s="6" t="s">
        <v>361</v>
      </c>
      <c r="C297" s="6" t="s">
        <v>283</v>
      </c>
      <c r="D297" s="6" t="s">
        <v>343</v>
      </c>
      <c r="E297" s="7">
        <v>31500</v>
      </c>
      <c r="F297" s="7">
        <v>0</v>
      </c>
      <c r="G297" s="7">
        <v>4410</v>
      </c>
      <c r="H297" s="8">
        <v>0</v>
      </c>
      <c r="I297" s="7">
        <v>35910</v>
      </c>
    </row>
    <row r="298" spans="1:9" s="3" customFormat="1">
      <c r="A298" s="6" t="s">
        <v>615</v>
      </c>
      <c r="B298" s="6" t="s">
        <v>616</v>
      </c>
      <c r="C298" s="6" t="s">
        <v>617</v>
      </c>
      <c r="D298" s="6" t="s">
        <v>618</v>
      </c>
      <c r="E298" s="7">
        <v>40142</v>
      </c>
      <c r="F298" s="7">
        <v>0</v>
      </c>
      <c r="G298" s="7">
        <v>5619.88</v>
      </c>
      <c r="H298" s="7">
        <v>401.42</v>
      </c>
      <c r="I298" s="7">
        <v>45360.46</v>
      </c>
    </row>
    <row r="299" spans="1:9" s="3" customFormat="1">
      <c r="A299" s="6" t="s">
        <v>661</v>
      </c>
      <c r="B299" s="6" t="s">
        <v>662</v>
      </c>
      <c r="C299" s="6" t="s">
        <v>617</v>
      </c>
      <c r="D299" s="6" t="s">
        <v>638</v>
      </c>
      <c r="E299" s="7">
        <v>25967.99</v>
      </c>
      <c r="F299" s="7">
        <v>0</v>
      </c>
      <c r="G299" s="7">
        <v>3635.5185999999999</v>
      </c>
      <c r="H299" s="8">
        <v>0</v>
      </c>
      <c r="I299" s="7">
        <v>29603.508600000001</v>
      </c>
    </row>
    <row r="300" spans="1:9" s="3" customFormat="1">
      <c r="A300" s="3" t="s">
        <v>663</v>
      </c>
      <c r="B300" s="3" t="s">
        <v>664</v>
      </c>
      <c r="C300" s="3" t="s">
        <v>617</v>
      </c>
      <c r="D300" s="3" t="s">
        <v>638</v>
      </c>
      <c r="E300" s="4">
        <v>68446.899999999994</v>
      </c>
      <c r="F300" s="4">
        <v>0</v>
      </c>
      <c r="G300" s="4">
        <v>9582.5660000000007</v>
      </c>
      <c r="H300" s="5">
        <v>0</v>
      </c>
      <c r="I300" s="4">
        <v>78029.466</v>
      </c>
    </row>
    <row r="301" spans="1:9" s="3" customFormat="1">
      <c r="A301" s="6" t="s">
        <v>410</v>
      </c>
      <c r="B301" s="6" t="s">
        <v>411</v>
      </c>
      <c r="C301" s="6" t="s">
        <v>412</v>
      </c>
      <c r="D301" s="6" t="s">
        <v>340</v>
      </c>
      <c r="E301" s="7">
        <v>221978.68</v>
      </c>
      <c r="F301" s="7">
        <v>0</v>
      </c>
      <c r="G301" s="7">
        <v>31077.015200000002</v>
      </c>
      <c r="H301" s="7">
        <v>2219.7867999999999</v>
      </c>
      <c r="I301" s="7">
        <v>250835.90839999999</v>
      </c>
    </row>
    <row r="302" spans="1:9" s="3" customFormat="1">
      <c r="A302" s="3" t="s">
        <v>482</v>
      </c>
      <c r="B302" s="3" t="s">
        <v>483</v>
      </c>
      <c r="C302" s="3" t="s">
        <v>412</v>
      </c>
      <c r="D302" s="3" t="s">
        <v>444</v>
      </c>
      <c r="E302" s="4">
        <v>14625</v>
      </c>
      <c r="F302" s="4">
        <v>0</v>
      </c>
      <c r="G302" s="4">
        <v>2047.5</v>
      </c>
      <c r="H302" s="4">
        <v>146.25</v>
      </c>
      <c r="I302" s="4">
        <v>16526.25</v>
      </c>
    </row>
    <row r="303" spans="1:9" s="3" customFormat="1">
      <c r="A303" s="3" t="s">
        <v>325</v>
      </c>
      <c r="B303" s="3" t="s">
        <v>326</v>
      </c>
      <c r="C303" s="3" t="s">
        <v>327</v>
      </c>
      <c r="D303" s="3" t="s">
        <v>317</v>
      </c>
      <c r="E303" s="4">
        <v>48600</v>
      </c>
      <c r="F303" s="4">
        <v>0</v>
      </c>
      <c r="G303" s="4">
        <v>6804</v>
      </c>
      <c r="H303" s="5">
        <v>0</v>
      </c>
      <c r="I303" s="4">
        <v>55404</v>
      </c>
    </row>
    <row r="304" spans="1:9" s="3" customFormat="1">
      <c r="A304" s="6" t="s">
        <v>336</v>
      </c>
      <c r="B304" s="6" t="s">
        <v>337</v>
      </c>
      <c r="C304" s="6" t="s">
        <v>327</v>
      </c>
      <c r="D304" s="6" t="s">
        <v>317</v>
      </c>
      <c r="E304" s="7">
        <v>333725</v>
      </c>
      <c r="F304" s="7">
        <v>0</v>
      </c>
      <c r="G304" s="7">
        <v>46721.5</v>
      </c>
      <c r="H304" s="8">
        <v>0</v>
      </c>
      <c r="I304" s="7">
        <v>380446.5</v>
      </c>
    </row>
    <row r="305" spans="1:9" s="3" customFormat="1">
      <c r="A305" s="6" t="s">
        <v>284</v>
      </c>
      <c r="B305" s="6" t="s">
        <v>285</v>
      </c>
      <c r="C305" s="6" t="s">
        <v>286</v>
      </c>
      <c r="D305" s="6" t="s">
        <v>237</v>
      </c>
      <c r="E305" s="7">
        <v>15412.5</v>
      </c>
      <c r="F305" s="7">
        <v>0</v>
      </c>
      <c r="G305" s="7">
        <v>2157.75</v>
      </c>
      <c r="H305" s="7">
        <v>154.125</v>
      </c>
      <c r="I305" s="7">
        <v>17416.125</v>
      </c>
    </row>
    <row r="306" spans="1:9" s="3" customFormat="1">
      <c r="A306" s="6" t="s">
        <v>442</v>
      </c>
      <c r="B306" s="6" t="s">
        <v>443</v>
      </c>
      <c r="C306" s="6" t="s">
        <v>286</v>
      </c>
      <c r="D306" s="6" t="s">
        <v>444</v>
      </c>
      <c r="E306" s="7">
        <v>7875</v>
      </c>
      <c r="F306" s="7">
        <v>0</v>
      </c>
      <c r="G306" s="7">
        <v>1102.5</v>
      </c>
      <c r="H306" s="7">
        <v>78.75</v>
      </c>
      <c r="I306" s="7">
        <v>8898.75</v>
      </c>
    </row>
    <row r="307" spans="1:9" s="3" customFormat="1">
      <c r="A307" s="6" t="s">
        <v>611</v>
      </c>
      <c r="B307" s="6" t="s">
        <v>612</v>
      </c>
      <c r="C307" s="6" t="s">
        <v>286</v>
      </c>
      <c r="D307" s="6" t="s">
        <v>608</v>
      </c>
      <c r="E307" s="7">
        <v>27475</v>
      </c>
      <c r="F307" s="7">
        <v>0</v>
      </c>
      <c r="G307" s="7">
        <v>3846.5</v>
      </c>
      <c r="H307" s="8">
        <v>0</v>
      </c>
      <c r="I307" s="7">
        <v>31321.5</v>
      </c>
    </row>
    <row r="308" spans="1:9" s="3" customFormat="1">
      <c r="A308" s="6" t="s">
        <v>665</v>
      </c>
      <c r="B308" s="6" t="s">
        <v>666</v>
      </c>
      <c r="C308" s="6" t="s">
        <v>286</v>
      </c>
      <c r="D308" s="6" t="s">
        <v>638</v>
      </c>
      <c r="E308" s="7">
        <v>16965</v>
      </c>
      <c r="F308" s="7">
        <v>0</v>
      </c>
      <c r="G308" s="7">
        <v>2375.1</v>
      </c>
      <c r="H308" s="8">
        <v>0</v>
      </c>
      <c r="I308" s="7">
        <v>19340.099999999999</v>
      </c>
    </row>
    <row r="309" spans="1:9" s="3" customFormat="1">
      <c r="A309" s="6" t="s">
        <v>46</v>
      </c>
      <c r="B309" s="6" t="s">
        <v>47</v>
      </c>
      <c r="C309" s="6" t="s">
        <v>48</v>
      </c>
      <c r="D309" s="6" t="s">
        <v>32</v>
      </c>
      <c r="E309" s="7">
        <v>200435.5</v>
      </c>
      <c r="F309" s="7">
        <v>0</v>
      </c>
      <c r="G309" s="7">
        <v>28060.97</v>
      </c>
      <c r="H309" s="8">
        <v>0</v>
      </c>
      <c r="I309" s="7">
        <v>228496.47</v>
      </c>
    </row>
    <row r="310" spans="1:9" s="3" customFormat="1">
      <c r="A310" s="3" t="s">
        <v>619</v>
      </c>
      <c r="B310" s="3" t="s">
        <v>620</v>
      </c>
      <c r="C310" s="3" t="s">
        <v>621</v>
      </c>
      <c r="D310" s="3" t="s">
        <v>618</v>
      </c>
      <c r="E310" s="4">
        <v>2500</v>
      </c>
      <c r="F310" s="4">
        <v>0</v>
      </c>
      <c r="G310" s="4">
        <v>350</v>
      </c>
      <c r="H310" s="4">
        <v>25</v>
      </c>
      <c r="I310" s="4">
        <v>2825</v>
      </c>
    </row>
    <row r="311" spans="1:9" s="3" customFormat="1">
      <c r="A311" s="3" t="s">
        <v>667</v>
      </c>
      <c r="B311" s="3" t="s">
        <v>668</v>
      </c>
      <c r="C311" s="3" t="s">
        <v>621</v>
      </c>
      <c r="D311" s="3" t="s">
        <v>638</v>
      </c>
      <c r="E311" s="4">
        <v>26939.25</v>
      </c>
      <c r="F311" s="4">
        <v>0</v>
      </c>
      <c r="G311" s="4">
        <v>3771.4949999999999</v>
      </c>
      <c r="H311" s="5">
        <v>0</v>
      </c>
      <c r="I311" s="4">
        <v>30710.744999999999</v>
      </c>
    </row>
    <row r="312" spans="1:9" s="3" customFormat="1">
      <c r="A312" s="3" t="s">
        <v>516</v>
      </c>
      <c r="B312" s="3" t="s">
        <v>517</v>
      </c>
      <c r="C312" s="3" t="s">
        <v>518</v>
      </c>
      <c r="D312" s="3" t="s">
        <v>510</v>
      </c>
      <c r="E312" s="4">
        <v>136000</v>
      </c>
      <c r="F312" s="4">
        <v>0</v>
      </c>
      <c r="G312" s="5">
        <v>0</v>
      </c>
      <c r="H312" s="4">
        <v>1360</v>
      </c>
      <c r="I312" s="4">
        <v>134640</v>
      </c>
    </row>
    <row r="313" spans="1:9" s="3" customFormat="1">
      <c r="A313" s="3" t="s">
        <v>362</v>
      </c>
      <c r="B313" s="3" t="s">
        <v>363</v>
      </c>
      <c r="C313" s="3" t="s">
        <v>364</v>
      </c>
      <c r="D313" s="3" t="s">
        <v>343</v>
      </c>
      <c r="E313" s="4">
        <v>66000</v>
      </c>
      <c r="F313" s="4">
        <v>0</v>
      </c>
      <c r="G313" s="4">
        <v>9240</v>
      </c>
      <c r="H313" s="5">
        <v>0</v>
      </c>
      <c r="I313" s="4">
        <v>75240</v>
      </c>
    </row>
    <row r="314" spans="1:9" s="3" customFormat="1">
      <c r="A314" s="6" t="s">
        <v>669</v>
      </c>
      <c r="B314" s="6" t="s">
        <v>670</v>
      </c>
      <c r="C314" s="6" t="s">
        <v>671</v>
      </c>
      <c r="D314" s="6" t="s">
        <v>638</v>
      </c>
      <c r="E314" s="7">
        <v>22632.240000000002</v>
      </c>
      <c r="F314" s="7">
        <v>0</v>
      </c>
      <c r="G314" s="7">
        <v>3168.5136000000002</v>
      </c>
      <c r="H314" s="8">
        <v>0</v>
      </c>
      <c r="I314" s="7">
        <v>25800.7536</v>
      </c>
    </row>
    <row r="315" spans="1:9" s="3" customFormat="1">
      <c r="A315" s="3" t="s">
        <v>782</v>
      </c>
      <c r="B315" s="3" t="s">
        <v>783</v>
      </c>
      <c r="C315" s="3" t="s">
        <v>671</v>
      </c>
      <c r="D315" s="3" t="s">
        <v>784</v>
      </c>
      <c r="E315" s="4">
        <v>1300</v>
      </c>
      <c r="F315" s="4">
        <v>0</v>
      </c>
      <c r="G315" s="4">
        <v>182</v>
      </c>
      <c r="H315" s="4">
        <v>39</v>
      </c>
      <c r="I315" s="4">
        <v>1443</v>
      </c>
    </row>
    <row r="316" spans="1:9" s="3" customFormat="1">
      <c r="A316" s="3" t="s">
        <v>287</v>
      </c>
      <c r="B316" s="3" t="s">
        <v>288</v>
      </c>
      <c r="C316" s="3" t="s">
        <v>289</v>
      </c>
      <c r="D316" s="3" t="s">
        <v>237</v>
      </c>
      <c r="E316" s="4">
        <v>6700</v>
      </c>
      <c r="F316" s="4">
        <v>0</v>
      </c>
      <c r="G316" s="4">
        <v>938</v>
      </c>
      <c r="H316" s="4">
        <v>67</v>
      </c>
      <c r="I316" s="4">
        <v>7571</v>
      </c>
    </row>
    <row r="317" spans="1:9" s="3" customFormat="1">
      <c r="A317" s="6" t="s">
        <v>499</v>
      </c>
      <c r="B317" s="6" t="s">
        <v>500</v>
      </c>
      <c r="C317" s="6" t="s">
        <v>289</v>
      </c>
      <c r="D317" s="6" t="s">
        <v>487</v>
      </c>
      <c r="E317" s="7">
        <v>69000</v>
      </c>
      <c r="F317" s="7">
        <v>0</v>
      </c>
      <c r="G317" s="7">
        <v>9660</v>
      </c>
      <c r="H317" s="8">
        <v>0</v>
      </c>
      <c r="I317" s="7">
        <v>78660</v>
      </c>
    </row>
    <row r="318" spans="1:9" s="3" customFormat="1">
      <c r="A318" s="6" t="s">
        <v>308</v>
      </c>
      <c r="B318" s="6" t="s">
        <v>309</v>
      </c>
      <c r="C318" s="6" t="s">
        <v>310</v>
      </c>
      <c r="D318" s="6" t="s">
        <v>293</v>
      </c>
      <c r="E318" s="7">
        <v>12975</v>
      </c>
      <c r="F318" s="7">
        <v>0</v>
      </c>
      <c r="G318" s="7">
        <v>1816.5</v>
      </c>
      <c r="H318" s="8">
        <v>0</v>
      </c>
      <c r="I318" s="7">
        <v>14791.5</v>
      </c>
    </row>
    <row r="319" spans="1:9" s="3" customFormat="1">
      <c r="A319" s="6" t="s">
        <v>416</v>
      </c>
      <c r="B319" s="6" t="s">
        <v>417</v>
      </c>
      <c r="C319" s="6" t="s">
        <v>310</v>
      </c>
      <c r="D319" s="6" t="s">
        <v>418</v>
      </c>
      <c r="E319" s="7">
        <v>354561.31900000002</v>
      </c>
      <c r="F319" s="7">
        <v>0</v>
      </c>
      <c r="G319" s="7">
        <v>49638.58466</v>
      </c>
      <c r="H319" s="7">
        <v>3545.61319</v>
      </c>
      <c r="I319" s="7">
        <v>400654.29047000001</v>
      </c>
    </row>
    <row r="320" spans="1:9" s="3" customFormat="1">
      <c r="A320" s="3" t="s">
        <v>563</v>
      </c>
      <c r="B320" s="3" t="s">
        <v>564</v>
      </c>
      <c r="C320" s="3" t="s">
        <v>310</v>
      </c>
      <c r="D320" s="3" t="s">
        <v>558</v>
      </c>
      <c r="E320" s="4">
        <v>60983.75</v>
      </c>
      <c r="F320" s="4">
        <v>0</v>
      </c>
      <c r="G320" s="4">
        <v>8537.7199999999993</v>
      </c>
      <c r="H320" s="5">
        <v>0</v>
      </c>
      <c r="I320" s="4">
        <v>69521.47</v>
      </c>
    </row>
    <row r="321" spans="1:9" s="3" customFormat="1">
      <c r="A321" s="6" t="s">
        <v>596</v>
      </c>
      <c r="B321" s="6" t="s">
        <v>597</v>
      </c>
      <c r="C321" s="6" t="s">
        <v>310</v>
      </c>
      <c r="D321" s="6" t="s">
        <v>155</v>
      </c>
      <c r="E321" s="7">
        <v>38514</v>
      </c>
      <c r="F321" s="7">
        <v>0</v>
      </c>
      <c r="G321" s="7">
        <v>5391.96</v>
      </c>
      <c r="H321" s="7">
        <v>385.14</v>
      </c>
      <c r="I321" s="7">
        <v>43520.82</v>
      </c>
    </row>
    <row r="322" spans="1:9" s="3" customFormat="1">
      <c r="A322" s="3" t="s">
        <v>672</v>
      </c>
      <c r="B322" s="3" t="s">
        <v>590</v>
      </c>
      <c r="C322" s="3" t="s">
        <v>310</v>
      </c>
      <c r="D322" s="3" t="s">
        <v>638</v>
      </c>
      <c r="E322" s="4">
        <v>23084.1</v>
      </c>
      <c r="F322" s="4">
        <v>0</v>
      </c>
      <c r="G322" s="4">
        <v>3231.7739999999999</v>
      </c>
      <c r="H322" s="5">
        <v>0</v>
      </c>
      <c r="I322" s="4">
        <v>26315.874</v>
      </c>
    </row>
    <row r="323" spans="1:9" s="3" customFormat="1">
      <c r="A323" s="6" t="s">
        <v>673</v>
      </c>
      <c r="B323" s="6" t="s">
        <v>674</v>
      </c>
      <c r="C323" s="6" t="s">
        <v>310</v>
      </c>
      <c r="D323" s="6" t="s">
        <v>638</v>
      </c>
      <c r="E323" s="7">
        <v>3081</v>
      </c>
      <c r="F323" s="7">
        <v>0</v>
      </c>
      <c r="G323" s="7">
        <v>431.34</v>
      </c>
      <c r="H323" s="8">
        <v>0</v>
      </c>
      <c r="I323" s="7">
        <v>3512.34</v>
      </c>
    </row>
    <row r="324" spans="1:9" s="3" customFormat="1">
      <c r="A324" s="6" t="s">
        <v>214</v>
      </c>
      <c r="B324" s="6" t="s">
        <v>215</v>
      </c>
      <c r="C324" s="6" t="s">
        <v>216</v>
      </c>
      <c r="D324" s="6" t="s">
        <v>195</v>
      </c>
      <c r="E324" s="7">
        <v>4000</v>
      </c>
      <c r="F324" s="7">
        <v>0</v>
      </c>
      <c r="G324" s="7">
        <v>560</v>
      </c>
      <c r="H324" s="7">
        <v>40</v>
      </c>
      <c r="I324" s="7">
        <v>4520</v>
      </c>
    </row>
    <row r="325" spans="1:9" s="3" customFormat="1">
      <c r="A325" s="3" t="s">
        <v>116</v>
      </c>
      <c r="B325" s="3" t="s">
        <v>117</v>
      </c>
      <c r="C325" s="3" t="s">
        <v>118</v>
      </c>
      <c r="D325" s="3" t="s">
        <v>62</v>
      </c>
      <c r="E325" s="4">
        <v>44209.8</v>
      </c>
      <c r="F325" s="4">
        <v>0</v>
      </c>
      <c r="G325" s="4">
        <v>6189.3720000000003</v>
      </c>
      <c r="H325" s="4">
        <v>442.09800000000001</v>
      </c>
      <c r="I325" s="4">
        <v>49957.074000000001</v>
      </c>
    </row>
    <row r="326" spans="1:9" s="9" customFormat="1">
      <c r="A326" s="10" t="s">
        <v>829</v>
      </c>
      <c r="E326" s="11">
        <f>SUM(E2:E325)</f>
        <v>28226594.225399997</v>
      </c>
      <c r="F326" s="11">
        <f>SUM(F2:F325)</f>
        <v>2140.4043999999999</v>
      </c>
      <c r="G326" s="11">
        <f>SUM(G2:G325)</f>
        <v>3891542.9621200012</v>
      </c>
      <c r="H326" s="11">
        <f>SUM(H2:H325)</f>
        <v>119395.1566</v>
      </c>
      <c r="I326" s="11">
        <f>SUM(I2:I325)</f>
        <v>31996601.622519996</v>
      </c>
    </row>
  </sheetData>
  <autoFilter ref="A1:I1" xr:uid="{00000000-0009-0000-0000-000000000000}">
    <sortState xmlns:xlrd2="http://schemas.microsoft.com/office/spreadsheetml/2017/richdata2" ref="A2:I348">
      <sortCondition ref="C1"/>
    </sortState>
  </autoFilter>
  <pageMargins left="0.25" right="0.25" top="0.75" bottom="0.75" header="0.3" footer="0.3"/>
  <pageSetup paperSize="9" scale="56" fitToHeight="0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rightToLeft="1" workbookViewId="0"/>
  </sheetViews>
  <sheetFormatPr defaultRowHeight="15"/>
  <cols>
    <col min="1" max="1" width="40" customWidth="1"/>
    <col min="2" max="2" width="22" customWidth="1"/>
  </cols>
  <sheetData>
    <row r="1" spans="1:2" s="12" customFormat="1">
      <c r="A1" s="12" t="s">
        <v>830</v>
      </c>
      <c r="B1" s="12" t="s">
        <v>831</v>
      </c>
    </row>
    <row r="2" spans="1:2">
      <c r="A2" t="s">
        <v>832</v>
      </c>
      <c r="B2">
        <v>346</v>
      </c>
    </row>
    <row r="3" spans="1:2">
      <c r="A3" t="s">
        <v>4</v>
      </c>
      <c r="B3" s="13">
        <v>29530495.437200002</v>
      </c>
    </row>
    <row r="4" spans="1:2">
      <c r="A4" t="s">
        <v>5</v>
      </c>
      <c r="B4" s="13">
        <v>4575.8044</v>
      </c>
    </row>
    <row r="5" spans="1:2">
      <c r="A5" t="s">
        <v>6</v>
      </c>
      <c r="B5" s="13">
        <v>0</v>
      </c>
    </row>
    <row r="6" spans="1:2">
      <c r="A6" t="s">
        <v>7</v>
      </c>
      <c r="B6" s="13">
        <v>4069646.1832900029</v>
      </c>
    </row>
    <row r="7" spans="1:2">
      <c r="A7" t="s">
        <v>8</v>
      </c>
      <c r="B7" s="13">
        <v>135686.92710000003</v>
      </c>
    </row>
    <row r="8" spans="1:2">
      <c r="A8" t="s">
        <v>9</v>
      </c>
      <c r="B8" s="13">
        <v>0</v>
      </c>
    </row>
    <row r="9" spans="1:2">
      <c r="A9" t="s">
        <v>10</v>
      </c>
      <c r="B9" s="13">
        <v>33459878.881989993</v>
      </c>
    </row>
    <row r="10" spans="1:2">
      <c r="A10" t="s">
        <v>833</v>
      </c>
      <c r="B10">
        <v>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الفواتير 2026-08-20 09-10</vt:lpstr>
      <vt:lpstr>ملخص 2026-08-20 09-10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2026-08-20T06:10:42Z</dcterms:created>
  <dcterms:modified xsi:type="dcterms:W3CDTF">2026-08-23T07:53:00Z</dcterms:modified>
  <cp:category/>
</cp:coreProperties>
</file>